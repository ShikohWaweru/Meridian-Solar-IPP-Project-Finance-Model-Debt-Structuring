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rosemary.waweru\Downloads\retechnicalassessmentinvitation\"/>
    </mc:Choice>
  </mc:AlternateContent>
  <xr:revisionPtr revIDLastSave="0" documentId="13_ncr:1_{015282AA-5574-4199-9FAA-266C857A897B}" xr6:coauthVersionLast="47" xr6:coauthVersionMax="47" xr10:uidLastSave="{00000000-0000-0000-0000-000000000000}"/>
  <bookViews>
    <workbookView xWindow="-108" yWindow="-108" windowWidth="23256" windowHeight="12456" activeTab="4" xr2:uid="{00000000-000D-0000-FFFF-FFFF00000000}"/>
  </bookViews>
  <sheets>
    <sheet name="Assumptions" sheetId="2" r:id="rId1"/>
    <sheet name="Model" sheetId="3" r:id="rId2"/>
    <sheet name="Debt" sheetId="4" r:id="rId3"/>
    <sheet name="Sensitivities" sheetId="5" r:id="rId4"/>
    <sheet name="Outputs" sheetId="6" r:id="rId5"/>
  </sheets>
  <definedNames>
    <definedName name="_xlnm.Print_Area" localSheetId="0">Assumptions!$A$1:$D$57</definedName>
    <definedName name="_xlnm.Print_Area" localSheetId="2">Debt!$A$1:$W$86</definedName>
    <definedName name="_xlnm.Print_Area" localSheetId="1">Model!$A$1:$W$59</definedName>
    <definedName name="_xlnm.Print_Area" localSheetId="4">Outputs!$A$1:$C$80</definedName>
    <definedName name="_xlnm.Print_Area" localSheetId="3">Sensitivities!$A$1:$S$31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1" i="4" l="1" a="1"/>
  <c r="C71" i="4" s="1"/>
  <c r="C69" i="4" a="1"/>
  <c r="C69" i="4" s="1"/>
  <c r="C53" i="3"/>
  <c r="I62" i="6"/>
  <c r="I61" i="6"/>
  <c r="I60" i="6"/>
  <c r="I59" i="6"/>
  <c r="I58" i="6"/>
  <c r="I57" i="6"/>
  <c r="I56" i="6"/>
  <c r="I55" i="6"/>
  <c r="I54" i="6"/>
  <c r="I53" i="6"/>
  <c r="I52" i="6"/>
  <c r="I51" i="6"/>
  <c r="I50" i="6"/>
  <c r="I49" i="6"/>
  <c r="I48" i="6"/>
  <c r="I47" i="6"/>
  <c r="I46" i="6"/>
  <c r="I45" i="6"/>
  <c r="I44" i="6"/>
  <c r="E62" i="6"/>
  <c r="E61" i="6"/>
  <c r="E60" i="6"/>
  <c r="E59" i="6"/>
  <c r="E58" i="6"/>
  <c r="E57" i="6"/>
  <c r="E56" i="6"/>
  <c r="E55" i="6"/>
  <c r="E54" i="6"/>
  <c r="E53" i="6"/>
  <c r="E52" i="6"/>
  <c r="E51" i="6"/>
  <c r="E50" i="6"/>
  <c r="E49" i="6"/>
  <c r="E48" i="6"/>
  <c r="E47" i="6"/>
  <c r="E46" i="6"/>
  <c r="E45" i="6"/>
  <c r="E44" i="6"/>
  <c r="A45" i="6"/>
  <c r="A46" i="6" s="1"/>
  <c r="A47" i="6" s="1"/>
  <c r="A48" i="6" s="1"/>
  <c r="A49" i="6" s="1"/>
  <c r="A50" i="6" s="1"/>
  <c r="A51" i="6" s="1"/>
  <c r="A52" i="6" s="1"/>
  <c r="A53" i="6" s="1"/>
  <c r="A54" i="6" s="1"/>
  <c r="A55" i="6" s="1"/>
  <c r="A56" i="6" s="1"/>
  <c r="A57" i="6" s="1"/>
  <c r="A58" i="6" s="1"/>
  <c r="A59" i="6" s="1"/>
  <c r="A60" i="6" s="1"/>
  <c r="A61" i="6" s="1"/>
  <c r="A62" i="6" s="1"/>
  <c r="I43" i="6"/>
  <c r="E43" i="6"/>
  <c r="A44" i="6"/>
  <c r="C35" i="6"/>
  <c r="C7" i="6"/>
  <c r="C5" i="6"/>
  <c r="E140" i="5"/>
  <c r="A140" i="5"/>
  <c r="E139" i="5"/>
  <c r="A139" i="5"/>
  <c r="E138" i="5"/>
  <c r="A138" i="5"/>
  <c r="E137" i="5"/>
  <c r="A137" i="5"/>
  <c r="E136" i="5"/>
  <c r="A136" i="5"/>
  <c r="E135" i="5"/>
  <c r="A135" i="5"/>
  <c r="E134" i="5"/>
  <c r="A134" i="5"/>
  <c r="E133" i="5"/>
  <c r="A133" i="5"/>
  <c r="E132" i="5"/>
  <c r="A132" i="5"/>
  <c r="E131" i="5"/>
  <c r="A131" i="5"/>
  <c r="E130" i="5"/>
  <c r="A130" i="5"/>
  <c r="E129" i="5"/>
  <c r="A129" i="5"/>
  <c r="E128" i="5"/>
  <c r="A128" i="5"/>
  <c r="E127" i="5"/>
  <c r="A127" i="5"/>
  <c r="E126" i="5"/>
  <c r="A126" i="5"/>
  <c r="E125" i="5"/>
  <c r="A125" i="5"/>
  <c r="E124" i="5"/>
  <c r="A124" i="5"/>
  <c r="E123" i="5"/>
  <c r="A123" i="5"/>
  <c r="E122" i="5"/>
  <c r="A122" i="5"/>
  <c r="E121" i="5"/>
  <c r="A121" i="5"/>
  <c r="E120" i="5"/>
  <c r="A120" i="5"/>
  <c r="E119" i="5"/>
  <c r="A119" i="5"/>
  <c r="E118" i="5"/>
  <c r="A118" i="5"/>
  <c r="E117" i="5"/>
  <c r="A117" i="5"/>
  <c r="E116" i="5"/>
  <c r="A116" i="5"/>
  <c r="E115" i="5"/>
  <c r="A115" i="5"/>
  <c r="E114" i="5"/>
  <c r="A114" i="5"/>
  <c r="E113" i="5"/>
  <c r="A113" i="5"/>
  <c r="E112" i="5"/>
  <c r="A112" i="5"/>
  <c r="E111" i="5"/>
  <c r="A111" i="5"/>
  <c r="E110" i="5"/>
  <c r="A110" i="5"/>
  <c r="E109" i="5"/>
  <c r="A109" i="5"/>
  <c r="E108" i="5"/>
  <c r="A108" i="5"/>
  <c r="E107" i="5"/>
  <c r="A107" i="5"/>
  <c r="E106" i="5"/>
  <c r="A106" i="5"/>
  <c r="E105" i="5"/>
  <c r="A105" i="5"/>
  <c r="E104" i="5"/>
  <c r="A104" i="5"/>
  <c r="E103" i="5"/>
  <c r="A103" i="5"/>
  <c r="E102" i="5"/>
  <c r="A102" i="5"/>
  <c r="E101" i="5"/>
  <c r="A101" i="5"/>
  <c r="E100" i="5"/>
  <c r="A100" i="5"/>
  <c r="E99" i="5"/>
  <c r="A99" i="5"/>
  <c r="E98" i="5"/>
  <c r="A98" i="5"/>
  <c r="E97" i="5"/>
  <c r="A97" i="5"/>
  <c r="E96" i="5"/>
  <c r="A96" i="5"/>
  <c r="E95" i="5"/>
  <c r="A95" i="5"/>
  <c r="E94" i="5"/>
  <c r="A94" i="5"/>
  <c r="E93" i="5"/>
  <c r="A93" i="5"/>
  <c r="E92" i="5"/>
  <c r="A92" i="5"/>
  <c r="M11"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B38" i="5"/>
  <c r="AA38" i="5"/>
  <c r="Z38" i="5"/>
  <c r="Y38" i="5"/>
  <c r="X38" i="5"/>
  <c r="W38" i="5"/>
  <c r="V38" i="5"/>
  <c r="U38" i="5"/>
  <c r="T38" i="5"/>
  <c r="S38" i="5"/>
  <c r="R38" i="5"/>
  <c r="Q38" i="5"/>
  <c r="P38" i="5"/>
  <c r="O38" i="5"/>
  <c r="N38" i="5"/>
  <c r="M38" i="5"/>
  <c r="L38" i="5"/>
  <c r="K38" i="5"/>
  <c r="J38" i="5"/>
  <c r="I38" i="5"/>
  <c r="AB37" i="5"/>
  <c r="AA37" i="5"/>
  <c r="Z37" i="5"/>
  <c r="Y37" i="5"/>
  <c r="X37" i="5"/>
  <c r="W37" i="5"/>
  <c r="V37" i="5"/>
  <c r="U37" i="5"/>
  <c r="T37" i="5"/>
  <c r="S37" i="5"/>
  <c r="R37" i="5"/>
  <c r="Q37" i="5"/>
  <c r="P37" i="5"/>
  <c r="O37" i="5"/>
  <c r="N37" i="5"/>
  <c r="M37" i="5"/>
  <c r="L37" i="5"/>
  <c r="K37" i="5"/>
  <c r="J37" i="5"/>
  <c r="I37" i="5"/>
  <c r="AB36" i="5"/>
  <c r="AA36" i="5"/>
  <c r="Z36" i="5"/>
  <c r="Y36" i="5"/>
  <c r="X36" i="5"/>
  <c r="W36" i="5"/>
  <c r="V36" i="5"/>
  <c r="U36" i="5"/>
  <c r="T36" i="5"/>
  <c r="S36" i="5"/>
  <c r="R36" i="5"/>
  <c r="Q36" i="5"/>
  <c r="P36" i="5"/>
  <c r="O36" i="5"/>
  <c r="N36" i="5"/>
  <c r="M36" i="5"/>
  <c r="L36" i="5"/>
  <c r="K36" i="5"/>
  <c r="J36" i="5"/>
  <c r="I36" i="5"/>
  <c r="AB35" i="5"/>
  <c r="AA35" i="5"/>
  <c r="Z35" i="5"/>
  <c r="Y35" i="5"/>
  <c r="X35" i="5"/>
  <c r="W35" i="5"/>
  <c r="V35" i="5"/>
  <c r="U35" i="5"/>
  <c r="T35" i="5"/>
  <c r="S35" i="5"/>
  <c r="R35" i="5"/>
  <c r="Q35" i="5"/>
  <c r="P35" i="5"/>
  <c r="O35" i="5"/>
  <c r="N35" i="5"/>
  <c r="M35" i="5"/>
  <c r="L35" i="5"/>
  <c r="K35" i="5"/>
  <c r="J35" i="5"/>
  <c r="I35" i="5"/>
  <c r="J34" i="5"/>
  <c r="K34" i="5" s="1"/>
  <c r="L34" i="5" s="1"/>
  <c r="M34" i="5" s="1"/>
  <c r="N34" i="5" s="1"/>
  <c r="O34" i="5" s="1"/>
  <c r="P34" i="5" s="1"/>
  <c r="Q34" i="5" s="1"/>
  <c r="R34" i="5" s="1"/>
  <c r="S34" i="5" s="1"/>
  <c r="T34" i="5" s="1"/>
  <c r="U34" i="5" s="1"/>
  <c r="V34" i="5" s="1"/>
  <c r="W34" i="5" s="1"/>
  <c r="X34" i="5" s="1"/>
  <c r="Y34" i="5" s="1"/>
  <c r="Z34" i="5" s="1"/>
  <c r="AA34" i="5" s="1"/>
  <c r="AB34" i="5" s="1"/>
  <c r="H38" i="5"/>
  <c r="H37" i="5"/>
  <c r="H36" i="5"/>
  <c r="H35" i="5"/>
  <c r="I34" i="5"/>
  <c r="B12" i="5"/>
  <c r="C11" i="5"/>
  <c r="W62" i="4"/>
  <c r="V62" i="4"/>
  <c r="U62" i="4"/>
  <c r="T62" i="4"/>
  <c r="S62" i="4"/>
  <c r="R62" i="4"/>
  <c r="Q62" i="4"/>
  <c r="P62" i="4"/>
  <c r="O62" i="4"/>
  <c r="N62" i="4"/>
  <c r="M62" i="4"/>
  <c r="L62" i="4"/>
  <c r="K62" i="4"/>
  <c r="J62" i="4"/>
  <c r="I62" i="4"/>
  <c r="H62" i="4"/>
  <c r="G62" i="4"/>
  <c r="F62" i="4"/>
  <c r="E62" i="4"/>
  <c r="D62" i="4"/>
  <c r="W55" i="4"/>
  <c r="W53" i="4"/>
  <c r="W40" i="4"/>
  <c r="V40" i="4"/>
  <c r="U40" i="4"/>
  <c r="T40" i="4"/>
  <c r="S40" i="4"/>
  <c r="R40" i="4"/>
  <c r="Q40" i="4"/>
  <c r="P40" i="4"/>
  <c r="O40" i="4"/>
  <c r="N40" i="4"/>
  <c r="M40" i="4"/>
  <c r="L40" i="4"/>
  <c r="K40" i="4"/>
  <c r="J40" i="4"/>
  <c r="I40" i="4"/>
  <c r="H40" i="4"/>
  <c r="G40" i="4"/>
  <c r="F40" i="4"/>
  <c r="E40" i="4"/>
  <c r="D40" i="4"/>
  <c r="C41" i="4"/>
  <c r="C30" i="4"/>
  <c r="W5" i="4"/>
  <c r="V5" i="4"/>
  <c r="U5" i="4"/>
  <c r="T5" i="4"/>
  <c r="S5" i="4"/>
  <c r="R5" i="4"/>
  <c r="Q5" i="4"/>
  <c r="P5" i="4"/>
  <c r="O5" i="4"/>
  <c r="N5" i="4"/>
  <c r="M5" i="4"/>
  <c r="L5" i="4"/>
  <c r="K5" i="4"/>
  <c r="J5" i="4"/>
  <c r="I5" i="4"/>
  <c r="H5" i="4"/>
  <c r="G5" i="4"/>
  <c r="F5" i="4"/>
  <c r="E5" i="4"/>
  <c r="D5" i="4"/>
  <c r="W4" i="4"/>
  <c r="W9" i="4" s="1"/>
  <c r="V4" i="4"/>
  <c r="V9" i="4" s="1"/>
  <c r="U4" i="4"/>
  <c r="U9" i="4" s="1"/>
  <c r="T4" i="4"/>
  <c r="T9" i="4" s="1"/>
  <c r="S4" i="4"/>
  <c r="S9" i="4" s="1"/>
  <c r="R4" i="4"/>
  <c r="R9" i="4" s="1"/>
  <c r="Q4" i="4"/>
  <c r="Q9" i="4" s="1"/>
  <c r="P4" i="4"/>
  <c r="P9" i="4" s="1"/>
  <c r="O4" i="4"/>
  <c r="O9" i="4" s="1"/>
  <c r="N4" i="4"/>
  <c r="N9" i="4" s="1"/>
  <c r="M4" i="4"/>
  <c r="M9" i="4" s="1"/>
  <c r="L4" i="4"/>
  <c r="L9" i="4" s="1"/>
  <c r="K4" i="4"/>
  <c r="K9" i="4" s="1"/>
  <c r="J4" i="4"/>
  <c r="J9" i="4" s="1"/>
  <c r="I4" i="4"/>
  <c r="I9" i="4" s="1"/>
  <c r="H4" i="4"/>
  <c r="H9" i="4" s="1"/>
  <c r="G4" i="4"/>
  <c r="G9" i="4" s="1"/>
  <c r="F4" i="4"/>
  <c r="F9" i="4" s="1"/>
  <c r="E4" i="4"/>
  <c r="E9" i="4" s="1"/>
  <c r="D4" i="4"/>
  <c r="D9" i="4" s="1"/>
  <c r="C11" i="4"/>
  <c r="C9" i="4"/>
  <c r="C5" i="4"/>
  <c r="C4" i="4"/>
  <c r="W39" i="3"/>
  <c r="V39" i="3"/>
  <c r="U39" i="3"/>
  <c r="T39" i="3"/>
  <c r="S39" i="3"/>
  <c r="R39" i="3"/>
  <c r="Q39" i="3"/>
  <c r="P39" i="3"/>
  <c r="O39" i="3"/>
  <c r="N39" i="3"/>
  <c r="M39" i="3"/>
  <c r="L39" i="3"/>
  <c r="K39" i="3"/>
  <c r="J39" i="3"/>
  <c r="I39" i="3"/>
  <c r="H39" i="3"/>
  <c r="G39" i="3"/>
  <c r="F39" i="3"/>
  <c r="E39" i="3"/>
  <c r="D39" i="3"/>
  <c r="W22" i="3"/>
  <c r="V22" i="3"/>
  <c r="U22" i="3"/>
  <c r="T22" i="3"/>
  <c r="S22" i="3"/>
  <c r="R22" i="3"/>
  <c r="Q22" i="3"/>
  <c r="P22" i="3"/>
  <c r="O22" i="3"/>
  <c r="N22" i="3"/>
  <c r="M22" i="3"/>
  <c r="L22" i="3"/>
  <c r="K22" i="3"/>
  <c r="J22" i="3"/>
  <c r="I22" i="3"/>
  <c r="H22" i="3"/>
  <c r="G22" i="3"/>
  <c r="F22" i="3"/>
  <c r="E22" i="3"/>
  <c r="D22" i="3"/>
  <c r="W15" i="3"/>
  <c r="V15" i="3"/>
  <c r="U15" i="3"/>
  <c r="T15" i="3"/>
  <c r="S15" i="3"/>
  <c r="R15" i="3"/>
  <c r="Q15" i="3"/>
  <c r="P15" i="3"/>
  <c r="O15" i="3"/>
  <c r="N15" i="3"/>
  <c r="M15" i="3"/>
  <c r="L15" i="3"/>
  <c r="K15" i="3"/>
  <c r="J15" i="3"/>
  <c r="I15" i="3"/>
  <c r="H15" i="3"/>
  <c r="G15" i="3"/>
  <c r="F15" i="3"/>
  <c r="E15" i="3"/>
  <c r="D15" i="3"/>
  <c r="W11" i="3"/>
  <c r="V11" i="3"/>
  <c r="U11" i="3"/>
  <c r="T11" i="3"/>
  <c r="S11" i="3"/>
  <c r="R11" i="3"/>
  <c r="Q11" i="3"/>
  <c r="P11" i="3"/>
  <c r="O11" i="3"/>
  <c r="N11" i="3"/>
  <c r="M11" i="3"/>
  <c r="L11" i="3"/>
  <c r="K11" i="3"/>
  <c r="J11" i="3"/>
  <c r="I11" i="3"/>
  <c r="H11" i="3"/>
  <c r="G11" i="3"/>
  <c r="F11" i="3"/>
  <c r="E11" i="3"/>
  <c r="D11" i="3"/>
  <c r="C39" i="3"/>
  <c r="C23" i="3"/>
  <c r="C22" i="3"/>
  <c r="C15" i="3"/>
  <c r="C11" i="3"/>
  <c r="W7" i="3"/>
  <c r="V7" i="3"/>
  <c r="U7" i="3"/>
  <c r="T7" i="3"/>
  <c r="S7" i="3"/>
  <c r="R7" i="3"/>
  <c r="Q7" i="3"/>
  <c r="P7" i="3"/>
  <c r="O7" i="3"/>
  <c r="N7" i="3"/>
  <c r="M7" i="3"/>
  <c r="L7" i="3"/>
  <c r="K7" i="3"/>
  <c r="J7" i="3"/>
  <c r="I7" i="3"/>
  <c r="H7" i="3"/>
  <c r="G7" i="3"/>
  <c r="F7" i="3"/>
  <c r="E7" i="3"/>
  <c r="D7" i="3"/>
  <c r="W6" i="3"/>
  <c r="V6" i="3"/>
  <c r="U6" i="3"/>
  <c r="T6" i="3"/>
  <c r="S6" i="3"/>
  <c r="R6" i="3"/>
  <c r="Q6" i="3"/>
  <c r="P6" i="3"/>
  <c r="O6" i="3"/>
  <c r="N6" i="3"/>
  <c r="M6" i="3"/>
  <c r="L6" i="3"/>
  <c r="K6" i="3"/>
  <c r="J6" i="3"/>
  <c r="I6" i="3"/>
  <c r="H6" i="3"/>
  <c r="G6" i="3"/>
  <c r="F6" i="3"/>
  <c r="E6" i="3"/>
  <c r="D6" i="3"/>
  <c r="E5" i="3"/>
  <c r="F5" i="3" s="1"/>
  <c r="G5" i="3" s="1"/>
  <c r="H5" i="3" s="1"/>
  <c r="I5" i="3" s="1"/>
  <c r="J5" i="3" s="1"/>
  <c r="K5" i="3" s="1"/>
  <c r="L5" i="3" s="1"/>
  <c r="M5" i="3" s="1"/>
  <c r="N5" i="3" s="1"/>
  <c r="O5" i="3" s="1"/>
  <c r="P5" i="3" s="1"/>
  <c r="Q5" i="3" s="1"/>
  <c r="R5" i="3" s="1"/>
  <c r="S5" i="3" s="1"/>
  <c r="T5" i="3" s="1"/>
  <c r="U5" i="3" s="1"/>
  <c r="V5" i="3" s="1"/>
  <c r="W5" i="3" s="1"/>
  <c r="E4" i="3"/>
  <c r="F4" i="3" s="1"/>
  <c r="G4" i="3" s="1"/>
  <c r="H4" i="3" s="1"/>
  <c r="I4" i="3" s="1"/>
  <c r="J4" i="3" s="1"/>
  <c r="K4" i="3" s="1"/>
  <c r="L4" i="3" s="1"/>
  <c r="M4" i="3" s="1"/>
  <c r="N4" i="3" s="1"/>
  <c r="O4" i="3" s="1"/>
  <c r="P4" i="3" s="1"/>
  <c r="Q4" i="3" s="1"/>
  <c r="R4" i="3" s="1"/>
  <c r="S4" i="3" s="1"/>
  <c r="T4" i="3" s="1"/>
  <c r="U4" i="3" s="1"/>
  <c r="V4" i="3" s="1"/>
  <c r="W4" i="3" s="1"/>
  <c r="D5" i="3"/>
  <c r="D4" i="3"/>
  <c r="C7" i="3"/>
  <c r="C6" i="3"/>
  <c r="C5" i="3"/>
  <c r="B45" i="2"/>
  <c r="C16" i="4" s="1"/>
  <c r="C18" i="6" s="1"/>
  <c r="B32" i="2"/>
  <c r="B16" i="2"/>
  <c r="B11" i="2"/>
  <c r="B10" i="2"/>
  <c r="N11" i="5" l="1"/>
  <c r="B134" i="5" a="1"/>
  <c r="H134" i="5" s="1"/>
  <c r="B127" i="5" a="1"/>
  <c r="H127" i="5" s="1"/>
  <c r="B120" i="5" a="1"/>
  <c r="H120" i="5" s="1"/>
  <c r="B113" i="5" a="1"/>
  <c r="H113" i="5" s="1"/>
  <c r="B106" i="5" a="1"/>
  <c r="H106" i="5" s="1"/>
  <c r="B99" i="5" a="1"/>
  <c r="H99" i="5" s="1"/>
  <c r="B92" i="5" a="1"/>
  <c r="H92" i="5" s="1"/>
  <c r="H88" i="5"/>
  <c r="H89" i="5"/>
  <c r="H78" i="5"/>
  <c r="H87" i="5"/>
  <c r="H86" i="5"/>
  <c r="H85" i="5"/>
  <c r="H84" i="5"/>
  <c r="H83" i="5"/>
  <c r="H82" i="5"/>
  <c r="H81" i="5"/>
  <c r="H80" i="5"/>
  <c r="H79" i="5"/>
  <c r="H41"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C24" i="3"/>
  <c r="D21" i="3" s="1"/>
  <c r="C36" i="3"/>
  <c r="C54" i="3"/>
  <c r="W23" i="3"/>
  <c r="U23" i="3"/>
  <c r="T23" i="3"/>
  <c r="S23" i="3"/>
  <c r="R23" i="3"/>
  <c r="Q23" i="3"/>
  <c r="P23" i="3"/>
  <c r="O23" i="3"/>
  <c r="N23" i="3"/>
  <c r="M23" i="3"/>
  <c r="V23" i="3"/>
  <c r="K23" i="3"/>
  <c r="J23" i="3"/>
  <c r="I23" i="3"/>
  <c r="H23" i="3"/>
  <c r="G23" i="3"/>
  <c r="F23" i="3"/>
  <c r="E23" i="3"/>
  <c r="D23" i="3"/>
  <c r="L23" i="3"/>
  <c r="C23" i="5"/>
  <c r="D83" i="5" a="1"/>
  <c r="D76" i="5" a="1"/>
  <c r="D69" i="5" a="1"/>
  <c r="D62" i="5" a="1"/>
  <c r="D55" i="5" a="1"/>
  <c r="D48" i="5" a="1"/>
  <c r="D41" i="5" a="1"/>
  <c r="D11" i="5"/>
  <c r="B13" i="5"/>
  <c r="L12" i="5"/>
  <c r="B24" i="5"/>
  <c r="B47" i="5" a="1"/>
  <c r="C47" i="5" s="1"/>
  <c r="B46" i="5" a="1"/>
  <c r="C46" i="5" s="1"/>
  <c r="B45" i="5" a="1"/>
  <c r="C45" i="5" s="1"/>
  <c r="B44" i="5" a="1"/>
  <c r="C44" i="5" s="1"/>
  <c r="B43" i="5" a="1"/>
  <c r="C43" i="5" s="1"/>
  <c r="B42" i="5" a="1"/>
  <c r="C42" i="5" s="1"/>
  <c r="B41" i="5" a="1"/>
  <c r="C41" i="5" s="1"/>
  <c r="C6" i="6"/>
  <c r="W10" i="3"/>
  <c r="W12" i="3" s="1"/>
  <c r="V10" i="3"/>
  <c r="V12" i="3" s="1"/>
  <c r="U10" i="3"/>
  <c r="U12" i="3" s="1"/>
  <c r="T10" i="3"/>
  <c r="T12" i="3" s="1"/>
  <c r="S10" i="3"/>
  <c r="S12" i="3" s="1"/>
  <c r="R10" i="3"/>
  <c r="R12" i="3" s="1"/>
  <c r="Q10" i="3"/>
  <c r="Q12" i="3" s="1"/>
  <c r="P10" i="3"/>
  <c r="P12" i="3" s="1"/>
  <c r="O10" i="3"/>
  <c r="O12" i="3" s="1"/>
  <c r="N10" i="3"/>
  <c r="N12" i="3" s="1"/>
  <c r="M10" i="3"/>
  <c r="M12" i="3" s="1"/>
  <c r="L10" i="3"/>
  <c r="L12" i="3" s="1"/>
  <c r="K10" i="3"/>
  <c r="K12" i="3" s="1"/>
  <c r="J10" i="3"/>
  <c r="J12" i="3" s="1"/>
  <c r="I10" i="3"/>
  <c r="I12" i="3" s="1"/>
  <c r="H10" i="3"/>
  <c r="H12" i="3" s="1"/>
  <c r="G10" i="3"/>
  <c r="G12" i="3" s="1"/>
  <c r="F10" i="3"/>
  <c r="F12" i="3" s="1"/>
  <c r="E10" i="3"/>
  <c r="E12" i="3" s="1"/>
  <c r="D10" i="3"/>
  <c r="D12" i="3" s="1"/>
  <c r="C10" i="3"/>
  <c r="B12" i="2"/>
  <c r="B25" i="2" s="1"/>
  <c r="B28" i="2" s="1"/>
  <c r="W11" i="4"/>
  <c r="V11" i="4"/>
  <c r="U11" i="4"/>
  <c r="T11" i="4"/>
  <c r="S11" i="4"/>
  <c r="R11" i="4"/>
  <c r="Q11" i="4"/>
  <c r="P11" i="4"/>
  <c r="O11" i="4"/>
  <c r="N11" i="4"/>
  <c r="M11" i="4"/>
  <c r="L11" i="4"/>
  <c r="K11" i="4"/>
  <c r="J11" i="4"/>
  <c r="I11" i="4"/>
  <c r="H11" i="4"/>
  <c r="G11" i="4"/>
  <c r="F11" i="4"/>
  <c r="E11" i="4"/>
  <c r="D11" i="4"/>
  <c r="W36" i="3"/>
  <c r="V36" i="3"/>
  <c r="U36" i="3"/>
  <c r="T36" i="3"/>
  <c r="S36" i="3"/>
  <c r="R36" i="3"/>
  <c r="Q36" i="3"/>
  <c r="P36" i="3"/>
  <c r="O36" i="3"/>
  <c r="N36" i="3"/>
  <c r="M36" i="3"/>
  <c r="L36" i="3"/>
  <c r="K36" i="3"/>
  <c r="J36" i="3"/>
  <c r="I36" i="3"/>
  <c r="H36" i="3"/>
  <c r="G36" i="3"/>
  <c r="F36" i="3"/>
  <c r="E36" i="3"/>
  <c r="D36" i="3"/>
  <c r="D24" i="3"/>
  <c r="E21" i="3" s="1"/>
  <c r="E24" i="3" s="1"/>
  <c r="F21" i="3" s="1"/>
  <c r="F24" i="3" s="1"/>
  <c r="G21" i="3" s="1"/>
  <c r="G24" i="3" s="1"/>
  <c r="H21" i="3" s="1"/>
  <c r="H24" i="3" s="1"/>
  <c r="I21" i="3" s="1"/>
  <c r="I24" i="3" s="1"/>
  <c r="J21" i="3" s="1"/>
  <c r="J24" i="3" s="1"/>
  <c r="K21" i="3" s="1"/>
  <c r="K24" i="3" s="1"/>
  <c r="L21" i="3" s="1"/>
  <c r="L24" i="3" s="1"/>
  <c r="M21" i="3" s="1"/>
  <c r="M24" i="3" s="1"/>
  <c r="N21" i="3" s="1"/>
  <c r="N24" i="3" s="1"/>
  <c r="O21" i="3" s="1"/>
  <c r="O24" i="3" s="1"/>
  <c r="P21" i="3" s="1"/>
  <c r="P24" i="3" s="1"/>
  <c r="Q21" i="3" s="1"/>
  <c r="Q24" i="3" s="1"/>
  <c r="R21" i="3" s="1"/>
  <c r="R24" i="3" s="1"/>
  <c r="S21" i="3" s="1"/>
  <c r="S24" i="3" s="1"/>
  <c r="T21" i="3" s="1"/>
  <c r="T24" i="3" s="1"/>
  <c r="U21" i="3" s="1"/>
  <c r="U24" i="3" s="1"/>
  <c r="V21" i="3" s="1"/>
  <c r="V24" i="3" s="1"/>
  <c r="W21" i="3" s="1"/>
  <c r="W24" i="3" s="1"/>
  <c r="W17" i="3"/>
  <c r="W18" i="3"/>
  <c r="V17" i="3"/>
  <c r="V18" i="3"/>
  <c r="U17" i="3"/>
  <c r="U18" i="3"/>
  <c r="T17" i="3"/>
  <c r="T18" i="3"/>
  <c r="S17" i="3"/>
  <c r="S18" i="3"/>
  <c r="R17" i="3"/>
  <c r="R18" i="3"/>
  <c r="Q17" i="3"/>
  <c r="Q18" i="3"/>
  <c r="P17" i="3"/>
  <c r="P18" i="3"/>
  <c r="O17" i="3"/>
  <c r="O18" i="3"/>
  <c r="N17" i="3"/>
  <c r="N18" i="3"/>
  <c r="M17" i="3"/>
  <c r="M18" i="3"/>
  <c r="L17" i="3"/>
  <c r="L18" i="3"/>
  <c r="K17" i="3"/>
  <c r="K18" i="3"/>
  <c r="J17" i="3"/>
  <c r="J18" i="3"/>
  <c r="I17" i="3"/>
  <c r="I18" i="3"/>
  <c r="H17" i="3"/>
  <c r="H18" i="3"/>
  <c r="G17" i="3"/>
  <c r="G18" i="3"/>
  <c r="F17" i="3"/>
  <c r="F18" i="3"/>
  <c r="E17" i="3"/>
  <c r="E18" i="3"/>
  <c r="D17" i="3"/>
  <c r="D18" i="3"/>
  <c r="O11" i="5" l="1"/>
  <c r="B93" i="5" a="1"/>
  <c r="H93" i="5" s="1"/>
  <c r="B100" i="5" a="1"/>
  <c r="H100" i="5" s="1"/>
  <c r="B107" i="5" a="1"/>
  <c r="H107" i="5" s="1"/>
  <c r="B114" i="5" a="1"/>
  <c r="H114" i="5" s="1"/>
  <c r="B121" i="5" a="1"/>
  <c r="H121" i="5" s="1"/>
  <c r="B128" i="5" a="1"/>
  <c r="H128" i="5" s="1"/>
  <c r="B135" i="5" a="1"/>
  <c r="H135" i="5" s="1"/>
  <c r="E11" i="5"/>
  <c r="D42" i="5" a="1"/>
  <c r="D49" i="5" a="1"/>
  <c r="D56" i="5" a="1"/>
  <c r="D63" i="5" a="1"/>
  <c r="D70" i="5" a="1"/>
  <c r="D77" i="5" a="1"/>
  <c r="D84" i="5" a="1"/>
  <c r="D23" i="5"/>
  <c r="B14" i="5"/>
  <c r="B48" i="5" a="1"/>
  <c r="C48" i="5" s="1"/>
  <c r="B49" i="5" a="1"/>
  <c r="C49" i="5" s="1"/>
  <c r="B50" i="5" a="1"/>
  <c r="C50" i="5" s="1"/>
  <c r="B51" i="5" a="1"/>
  <c r="C51" i="5" s="1"/>
  <c r="B52" i="5" a="1"/>
  <c r="C52" i="5" s="1"/>
  <c r="B53" i="5" a="1"/>
  <c r="C53" i="5" s="1"/>
  <c r="B54" i="5" a="1"/>
  <c r="C54" i="5" s="1"/>
  <c r="B25" i="5"/>
  <c r="L13" i="5"/>
  <c r="C92" i="5" a="1"/>
  <c r="D92" i="5" s="1"/>
  <c r="C93" i="5" a="1"/>
  <c r="D93" i="5" s="1"/>
  <c r="C94" i="5" a="1"/>
  <c r="D94" i="5" s="1"/>
  <c r="C95" i="5" a="1"/>
  <c r="D95" i="5" s="1"/>
  <c r="C96" i="5" a="1"/>
  <c r="D96" i="5" s="1"/>
  <c r="C97" i="5" a="1"/>
  <c r="D97" i="5" s="1"/>
  <c r="C98" i="5" a="1"/>
  <c r="D98" i="5" s="1"/>
  <c r="I41" i="5"/>
  <c r="J41" i="5"/>
  <c r="K41" i="5"/>
  <c r="L41" i="5"/>
  <c r="M41" i="5"/>
  <c r="N41" i="5"/>
  <c r="O41" i="5"/>
  <c r="P41" i="5"/>
  <c r="Q41" i="5"/>
  <c r="R41" i="5"/>
  <c r="S41" i="5"/>
  <c r="T41" i="5"/>
  <c r="U41" i="5"/>
  <c r="V41" i="5"/>
  <c r="W41" i="5"/>
  <c r="X41" i="5"/>
  <c r="Y41" i="5"/>
  <c r="Z41" i="5"/>
  <c r="AA41" i="5"/>
  <c r="AB41" i="5"/>
  <c r="C8" i="6"/>
  <c r="C52" i="3"/>
  <c r="C12" i="3"/>
  <c r="C49" i="3"/>
  <c r="C12" i="6" s="1"/>
  <c r="W26" i="3"/>
  <c r="W31" i="3"/>
  <c r="V31" i="3"/>
  <c r="V26" i="3"/>
  <c r="U31" i="3"/>
  <c r="U26" i="3"/>
  <c r="T31" i="3"/>
  <c r="T26" i="3"/>
  <c r="S31" i="3"/>
  <c r="S26" i="3"/>
  <c r="R31" i="3"/>
  <c r="R26" i="3"/>
  <c r="Q31" i="3"/>
  <c r="Q26" i="3"/>
  <c r="P31" i="3"/>
  <c r="P26" i="3"/>
  <c r="O31" i="3"/>
  <c r="O26" i="3"/>
  <c r="N31" i="3"/>
  <c r="N26" i="3"/>
  <c r="M31" i="3"/>
  <c r="M26" i="3"/>
  <c r="L31" i="3"/>
  <c r="L26" i="3"/>
  <c r="K31" i="3"/>
  <c r="K26" i="3"/>
  <c r="J31" i="3"/>
  <c r="J26" i="3"/>
  <c r="I31" i="3"/>
  <c r="I26" i="3"/>
  <c r="H31" i="3"/>
  <c r="H26" i="3"/>
  <c r="G31" i="3"/>
  <c r="G26" i="3"/>
  <c r="F31" i="3"/>
  <c r="F26" i="3"/>
  <c r="E31" i="3"/>
  <c r="E26" i="3"/>
  <c r="D31" i="3"/>
  <c r="C9" i="6"/>
  <c r="D26" i="3"/>
  <c r="B94" i="5" l="1" a="1"/>
  <c r="H94" i="5" s="1"/>
  <c r="B101" i="5" a="1"/>
  <c r="H101" i="5" s="1"/>
  <c r="B108" i="5" a="1"/>
  <c r="H108" i="5" s="1"/>
  <c r="B115" i="5" a="1"/>
  <c r="H115" i="5" s="1"/>
  <c r="B122" i="5" a="1"/>
  <c r="H122" i="5" s="1"/>
  <c r="B129" i="5" a="1"/>
  <c r="H129" i="5" s="1"/>
  <c r="B136" i="5" a="1"/>
  <c r="H136" i="5" s="1"/>
  <c r="P11" i="5"/>
  <c r="D43" i="5" a="1"/>
  <c r="D50" i="5" a="1"/>
  <c r="D57" i="5" a="1"/>
  <c r="D64" i="5" a="1"/>
  <c r="D71" i="5" a="1"/>
  <c r="D78" i="5" a="1"/>
  <c r="D85" i="5" a="1"/>
  <c r="E23" i="5"/>
  <c r="F11" i="5"/>
  <c r="AB42" i="5"/>
  <c r="AA42" i="5"/>
  <c r="Z42" i="5"/>
  <c r="Y42" i="5"/>
  <c r="X42" i="5"/>
  <c r="W42" i="5"/>
  <c r="V42" i="5"/>
  <c r="U42" i="5"/>
  <c r="T42" i="5"/>
  <c r="S42" i="5"/>
  <c r="R42" i="5"/>
  <c r="Q42" i="5"/>
  <c r="P42" i="5"/>
  <c r="O42" i="5"/>
  <c r="N42" i="5"/>
  <c r="M42" i="5"/>
  <c r="L42" i="5"/>
  <c r="K42" i="5"/>
  <c r="J42" i="5"/>
  <c r="I42" i="5"/>
  <c r="B55" i="5" a="1"/>
  <c r="C55" i="5" s="1"/>
  <c r="B56" i="5" a="1"/>
  <c r="C56" i="5" s="1"/>
  <c r="B57" i="5" a="1"/>
  <c r="C57" i="5" s="1"/>
  <c r="B58" i="5" a="1"/>
  <c r="C58" i="5" s="1"/>
  <c r="B59" i="5" a="1"/>
  <c r="C59" i="5" s="1"/>
  <c r="B60" i="5" a="1"/>
  <c r="C60" i="5" s="1"/>
  <c r="B61" i="5" a="1"/>
  <c r="C61" i="5" s="1"/>
  <c r="B26" i="5"/>
  <c r="L14" i="5"/>
  <c r="B15" i="5"/>
  <c r="AB48" i="5"/>
  <c r="AA48" i="5"/>
  <c r="Z48" i="5"/>
  <c r="Y48" i="5"/>
  <c r="X48" i="5"/>
  <c r="W48" i="5"/>
  <c r="V48" i="5"/>
  <c r="U48" i="5"/>
  <c r="T48" i="5"/>
  <c r="S48" i="5"/>
  <c r="R48" i="5"/>
  <c r="Q48" i="5"/>
  <c r="P48" i="5"/>
  <c r="O48" i="5"/>
  <c r="N48" i="5"/>
  <c r="M48" i="5"/>
  <c r="L48" i="5"/>
  <c r="K48" i="5"/>
  <c r="J48" i="5"/>
  <c r="I48" i="5"/>
  <c r="AB49" i="5"/>
  <c r="AA49" i="5"/>
  <c r="Z49" i="5"/>
  <c r="Y49" i="5"/>
  <c r="X49" i="5"/>
  <c r="W49" i="5"/>
  <c r="V49" i="5"/>
  <c r="U49" i="5"/>
  <c r="T49" i="5"/>
  <c r="S49" i="5"/>
  <c r="R49" i="5"/>
  <c r="Q49" i="5"/>
  <c r="P49" i="5"/>
  <c r="O49" i="5"/>
  <c r="N49" i="5"/>
  <c r="M49" i="5"/>
  <c r="L49" i="5"/>
  <c r="K49" i="5"/>
  <c r="J49" i="5"/>
  <c r="I49" i="5"/>
  <c r="AB50" i="5"/>
  <c r="AA50" i="5"/>
  <c r="Z50" i="5"/>
  <c r="Y50" i="5"/>
  <c r="X50" i="5"/>
  <c r="W50" i="5"/>
  <c r="V50" i="5"/>
  <c r="U50" i="5"/>
  <c r="T50" i="5"/>
  <c r="S50" i="5"/>
  <c r="R50" i="5"/>
  <c r="Q50" i="5"/>
  <c r="P50" i="5"/>
  <c r="O50" i="5"/>
  <c r="N50" i="5"/>
  <c r="M50" i="5"/>
  <c r="L50" i="5"/>
  <c r="K50" i="5"/>
  <c r="J50" i="5"/>
  <c r="I50" i="5"/>
  <c r="C99" i="5" a="1"/>
  <c r="D99" i="5" s="1"/>
  <c r="C100" i="5" a="1"/>
  <c r="D100" i="5" s="1"/>
  <c r="C101" i="5" a="1"/>
  <c r="D101" i="5" s="1"/>
  <c r="C102" i="5" a="1"/>
  <c r="D102" i="5" s="1"/>
  <c r="C103" i="5" a="1"/>
  <c r="D103" i="5" s="1"/>
  <c r="C104" i="5" a="1"/>
  <c r="D104" i="5" s="1"/>
  <c r="C105" i="5" a="1"/>
  <c r="D105" i="5" s="1"/>
  <c r="I92" i="5"/>
  <c r="J92" i="5"/>
  <c r="K92" i="5"/>
  <c r="L92" i="5"/>
  <c r="M92" i="5"/>
  <c r="N92" i="5"/>
  <c r="O92" i="5"/>
  <c r="P92" i="5"/>
  <c r="Q92" i="5"/>
  <c r="R92" i="5"/>
  <c r="S92" i="5"/>
  <c r="T92" i="5"/>
  <c r="U92" i="5"/>
  <c r="V92" i="5"/>
  <c r="W92" i="5"/>
  <c r="X92" i="5"/>
  <c r="Y92" i="5"/>
  <c r="Z92" i="5"/>
  <c r="AA92" i="5"/>
  <c r="AB92" i="5"/>
  <c r="AB93" i="5"/>
  <c r="AA93" i="5"/>
  <c r="Z93" i="5"/>
  <c r="Y93" i="5"/>
  <c r="X93" i="5"/>
  <c r="W93" i="5"/>
  <c r="V93" i="5"/>
  <c r="U93" i="5"/>
  <c r="T93" i="5"/>
  <c r="S93" i="5"/>
  <c r="R93" i="5"/>
  <c r="Q93" i="5"/>
  <c r="P93" i="5"/>
  <c r="O93" i="5"/>
  <c r="N93" i="5"/>
  <c r="M93" i="5"/>
  <c r="L93" i="5"/>
  <c r="K93" i="5"/>
  <c r="J93" i="5"/>
  <c r="I93" i="5"/>
  <c r="F93" i="5" s="1"/>
  <c r="N12" i="5" s="1" a="1"/>
  <c r="AB94" i="5"/>
  <c r="AA94" i="5"/>
  <c r="Z94" i="5"/>
  <c r="Y94" i="5"/>
  <c r="X94" i="5"/>
  <c r="W94" i="5"/>
  <c r="V94" i="5"/>
  <c r="U94" i="5"/>
  <c r="T94" i="5"/>
  <c r="S94" i="5"/>
  <c r="R94" i="5"/>
  <c r="Q94" i="5"/>
  <c r="P94" i="5"/>
  <c r="O94" i="5"/>
  <c r="N94" i="5"/>
  <c r="M94" i="5"/>
  <c r="L94" i="5"/>
  <c r="K94" i="5"/>
  <c r="J94" i="5"/>
  <c r="I94" i="5"/>
  <c r="F94" i="5" s="1"/>
  <c r="O12" i="5" s="1" a="1"/>
  <c r="E41" i="5"/>
  <c r="C12" i="5" s="1" a="1"/>
  <c r="F41" i="5"/>
  <c r="C24" i="5" s="1" a="1"/>
  <c r="C55" i="3"/>
  <c r="C58" i="3"/>
  <c r="C68" i="6" s="1"/>
  <c r="C69" i="6" s="1"/>
  <c r="C59" i="3"/>
  <c r="C17" i="3"/>
  <c r="C18" i="3"/>
  <c r="W28" i="3"/>
  <c r="W27" i="3"/>
  <c r="W32" i="3" s="1"/>
  <c r="W34" i="3" s="1"/>
  <c r="V28" i="3"/>
  <c r="V27" i="3"/>
  <c r="V32" i="3" s="1"/>
  <c r="V34" i="3" s="1"/>
  <c r="U28" i="3"/>
  <c r="U27" i="3"/>
  <c r="U32" i="3" s="1"/>
  <c r="U34" i="3" s="1"/>
  <c r="T28" i="3"/>
  <c r="T27" i="3"/>
  <c r="T32" i="3" s="1"/>
  <c r="T34" i="3" s="1"/>
  <c r="S28" i="3"/>
  <c r="S27" i="3"/>
  <c r="S32" i="3" s="1"/>
  <c r="S34" i="3" s="1"/>
  <c r="R28" i="3"/>
  <c r="R27" i="3"/>
  <c r="R32" i="3" s="1"/>
  <c r="R34" i="3" s="1"/>
  <c r="Q28" i="3"/>
  <c r="Q27" i="3"/>
  <c r="Q32" i="3" s="1"/>
  <c r="Q34" i="3" s="1"/>
  <c r="P28" i="3"/>
  <c r="P27" i="3"/>
  <c r="P32" i="3" s="1"/>
  <c r="P34" i="3" s="1"/>
  <c r="O28" i="3"/>
  <c r="O27" i="3"/>
  <c r="O32" i="3" s="1"/>
  <c r="O34" i="3" s="1"/>
  <c r="N28" i="3"/>
  <c r="N27" i="3"/>
  <c r="N32" i="3" s="1"/>
  <c r="N34" i="3" s="1"/>
  <c r="M28" i="3"/>
  <c r="M27" i="3"/>
  <c r="M32" i="3" s="1"/>
  <c r="M34" i="3" s="1"/>
  <c r="L28" i="3"/>
  <c r="L27" i="3"/>
  <c r="L32" i="3" s="1"/>
  <c r="L34" i="3" s="1"/>
  <c r="K28" i="3"/>
  <c r="K27" i="3"/>
  <c r="K32" i="3" s="1"/>
  <c r="K34" i="3" s="1"/>
  <c r="J28" i="3"/>
  <c r="J27" i="3"/>
  <c r="J32" i="3" s="1"/>
  <c r="J34" i="3" s="1"/>
  <c r="I28" i="3"/>
  <c r="I27" i="3"/>
  <c r="I32" i="3" s="1"/>
  <c r="I34" i="3" s="1"/>
  <c r="H28" i="3"/>
  <c r="H27" i="3"/>
  <c r="H32" i="3" s="1"/>
  <c r="H34" i="3" s="1"/>
  <c r="G28" i="3"/>
  <c r="G27" i="3"/>
  <c r="G32" i="3" s="1"/>
  <c r="G34" i="3" s="1"/>
  <c r="F28" i="3"/>
  <c r="F27" i="3"/>
  <c r="F32" i="3" s="1"/>
  <c r="F34" i="3" s="1"/>
  <c r="E28" i="3"/>
  <c r="E27" i="3"/>
  <c r="E32" i="3" s="1"/>
  <c r="E34" i="3" s="1"/>
  <c r="D28" i="3"/>
  <c r="D27" i="3"/>
  <c r="D32" i="3" s="1"/>
  <c r="D34" i="3" s="1"/>
  <c r="B95" i="5" l="1" a="1"/>
  <c r="B102" i="5" a="1"/>
  <c r="H102" i="5" s="1"/>
  <c r="B109" i="5" a="1"/>
  <c r="H109" i="5" s="1"/>
  <c r="B116" i="5" a="1"/>
  <c r="H116" i="5" s="1"/>
  <c r="B123" i="5" a="1"/>
  <c r="H123" i="5" s="1"/>
  <c r="B130" i="5" a="1"/>
  <c r="H130" i="5" s="1"/>
  <c r="B137" i="5" a="1"/>
  <c r="H137" i="5" s="1"/>
  <c r="Q11" i="5"/>
  <c r="AB43" i="5"/>
  <c r="AA43" i="5"/>
  <c r="Z43" i="5"/>
  <c r="Y43" i="5"/>
  <c r="X43" i="5"/>
  <c r="W43" i="5"/>
  <c r="V43" i="5"/>
  <c r="U43" i="5"/>
  <c r="T43" i="5"/>
  <c r="S43" i="5"/>
  <c r="R43" i="5"/>
  <c r="Q43" i="5"/>
  <c r="P43" i="5"/>
  <c r="O43" i="5"/>
  <c r="N43" i="5"/>
  <c r="M43" i="5"/>
  <c r="L43" i="5"/>
  <c r="K43" i="5"/>
  <c r="J43" i="5"/>
  <c r="I43" i="5"/>
  <c r="D44" i="5" a="1"/>
  <c r="D51" i="5" a="1"/>
  <c r="D58" i="5" a="1"/>
  <c r="D65" i="5" a="1"/>
  <c r="D72" i="5" a="1"/>
  <c r="D79" i="5" a="1"/>
  <c r="D86" i="5" a="1"/>
  <c r="F23" i="5"/>
  <c r="G11" i="5"/>
  <c r="F42" i="5"/>
  <c r="D24" i="5" s="1" a="1"/>
  <c r="E42" i="5"/>
  <c r="D12" i="5" s="1" a="1"/>
  <c r="AB55" i="5"/>
  <c r="AA55" i="5"/>
  <c r="Z55" i="5"/>
  <c r="Y55" i="5"/>
  <c r="X55" i="5"/>
  <c r="W55" i="5"/>
  <c r="V55" i="5"/>
  <c r="U55" i="5"/>
  <c r="T55" i="5"/>
  <c r="S55" i="5"/>
  <c r="R55" i="5"/>
  <c r="Q55" i="5"/>
  <c r="P55" i="5"/>
  <c r="O55" i="5"/>
  <c r="N55" i="5"/>
  <c r="M55" i="5"/>
  <c r="L55" i="5"/>
  <c r="K55" i="5"/>
  <c r="J55" i="5"/>
  <c r="I55" i="5"/>
  <c r="AB56" i="5"/>
  <c r="AA56" i="5"/>
  <c r="Z56" i="5"/>
  <c r="Y56" i="5"/>
  <c r="X56" i="5"/>
  <c r="W56" i="5"/>
  <c r="V56" i="5"/>
  <c r="U56" i="5"/>
  <c r="T56" i="5"/>
  <c r="S56" i="5"/>
  <c r="R56" i="5"/>
  <c r="Q56" i="5"/>
  <c r="P56" i="5"/>
  <c r="O56" i="5"/>
  <c r="N56" i="5"/>
  <c r="M56" i="5"/>
  <c r="L56" i="5"/>
  <c r="K56" i="5"/>
  <c r="J56" i="5"/>
  <c r="I56" i="5"/>
  <c r="AB57" i="5"/>
  <c r="AA57" i="5"/>
  <c r="Z57" i="5"/>
  <c r="Y57" i="5"/>
  <c r="X57" i="5"/>
  <c r="W57" i="5"/>
  <c r="V57" i="5"/>
  <c r="U57" i="5"/>
  <c r="T57" i="5"/>
  <c r="S57" i="5"/>
  <c r="R57" i="5"/>
  <c r="Q57" i="5"/>
  <c r="P57" i="5"/>
  <c r="O57" i="5"/>
  <c r="N57" i="5"/>
  <c r="M57" i="5"/>
  <c r="L57" i="5"/>
  <c r="K57" i="5"/>
  <c r="J57" i="5"/>
  <c r="I57" i="5"/>
  <c r="AB58" i="5"/>
  <c r="AA58" i="5"/>
  <c r="Z58" i="5"/>
  <c r="Y58" i="5"/>
  <c r="X58" i="5"/>
  <c r="W58" i="5"/>
  <c r="V58" i="5"/>
  <c r="U58" i="5"/>
  <c r="T58" i="5"/>
  <c r="S58" i="5"/>
  <c r="R58" i="5"/>
  <c r="Q58" i="5"/>
  <c r="P58" i="5"/>
  <c r="O58" i="5"/>
  <c r="N58" i="5"/>
  <c r="M58" i="5"/>
  <c r="L58" i="5"/>
  <c r="K58" i="5"/>
  <c r="J58" i="5"/>
  <c r="I58" i="5"/>
  <c r="C106" i="5" a="1"/>
  <c r="D106" i="5" s="1"/>
  <c r="C107" i="5" a="1"/>
  <c r="D107" i="5" s="1"/>
  <c r="C108" i="5" a="1"/>
  <c r="D108" i="5" s="1"/>
  <c r="C109" i="5" a="1"/>
  <c r="D109" i="5" s="1"/>
  <c r="C110" i="5" a="1"/>
  <c r="D110" i="5" s="1"/>
  <c r="C111" i="5" a="1"/>
  <c r="D111" i="5" s="1"/>
  <c r="C112" i="5" a="1"/>
  <c r="D112" i="5" s="1"/>
  <c r="B62" i="5" a="1"/>
  <c r="C62" i="5" s="1"/>
  <c r="B63" i="5" a="1"/>
  <c r="C63" i="5" s="1"/>
  <c r="B64" i="5" a="1"/>
  <c r="C64" i="5" s="1"/>
  <c r="B65" i="5" a="1"/>
  <c r="C65" i="5" s="1"/>
  <c r="B66" i="5" a="1"/>
  <c r="C66" i="5" s="1"/>
  <c r="B67" i="5" a="1"/>
  <c r="C67" i="5" s="1"/>
  <c r="B68" i="5" a="1"/>
  <c r="C68" i="5" s="1"/>
  <c r="B27" i="5"/>
  <c r="L15" i="5"/>
  <c r="B16" i="5"/>
  <c r="F48" i="5"/>
  <c r="C25" i="5" s="1" a="1"/>
  <c r="E48" i="5"/>
  <c r="C13" i="5" s="1" a="1"/>
  <c r="F49" i="5"/>
  <c r="D25" i="5" s="1" a="1"/>
  <c r="E49" i="5"/>
  <c r="D13" i="5" s="1" a="1"/>
  <c r="F50" i="5"/>
  <c r="E25" i="5" s="1" a="1"/>
  <c r="E50" i="5"/>
  <c r="E13" i="5" s="1" a="1"/>
  <c r="AB99" i="5"/>
  <c r="AA99" i="5"/>
  <c r="Z99" i="5"/>
  <c r="Y99" i="5"/>
  <c r="X99" i="5"/>
  <c r="W99" i="5"/>
  <c r="V99" i="5"/>
  <c r="U99" i="5"/>
  <c r="T99" i="5"/>
  <c r="S99" i="5"/>
  <c r="R99" i="5"/>
  <c r="Q99" i="5"/>
  <c r="P99" i="5"/>
  <c r="O99" i="5"/>
  <c r="N99" i="5"/>
  <c r="M99" i="5"/>
  <c r="L99" i="5"/>
  <c r="K99" i="5"/>
  <c r="J99" i="5"/>
  <c r="I99" i="5"/>
  <c r="F99" i="5" s="1"/>
  <c r="M13" i="5" s="1" a="1"/>
  <c r="AB100" i="5"/>
  <c r="AA100" i="5"/>
  <c r="Z100" i="5"/>
  <c r="Y100" i="5"/>
  <c r="X100" i="5"/>
  <c r="W100" i="5"/>
  <c r="V100" i="5"/>
  <c r="U100" i="5"/>
  <c r="T100" i="5"/>
  <c r="S100" i="5"/>
  <c r="R100" i="5"/>
  <c r="Q100" i="5"/>
  <c r="P100" i="5"/>
  <c r="O100" i="5"/>
  <c r="N100" i="5"/>
  <c r="M100" i="5"/>
  <c r="L100" i="5"/>
  <c r="K100" i="5"/>
  <c r="J100" i="5"/>
  <c r="I100" i="5"/>
  <c r="F100" i="5" s="1"/>
  <c r="N13" i="5" s="1" a="1"/>
  <c r="AB101" i="5"/>
  <c r="AA101" i="5"/>
  <c r="Z101" i="5"/>
  <c r="Y101" i="5"/>
  <c r="X101" i="5"/>
  <c r="W101" i="5"/>
  <c r="V101" i="5"/>
  <c r="U101" i="5"/>
  <c r="T101" i="5"/>
  <c r="S101" i="5"/>
  <c r="R101" i="5"/>
  <c r="Q101" i="5"/>
  <c r="P101" i="5"/>
  <c r="O101" i="5"/>
  <c r="N101" i="5"/>
  <c r="M101" i="5"/>
  <c r="L101" i="5"/>
  <c r="K101" i="5"/>
  <c r="J101" i="5"/>
  <c r="I101" i="5"/>
  <c r="F101" i="5" s="1"/>
  <c r="O13" i="5" s="1" a="1"/>
  <c r="AB102" i="5"/>
  <c r="AA102" i="5"/>
  <c r="Z102" i="5"/>
  <c r="Y102" i="5"/>
  <c r="X102" i="5"/>
  <c r="W102" i="5"/>
  <c r="V102" i="5"/>
  <c r="U102" i="5"/>
  <c r="T102" i="5"/>
  <c r="S102" i="5"/>
  <c r="R102" i="5"/>
  <c r="Q102" i="5"/>
  <c r="P102" i="5"/>
  <c r="O102" i="5"/>
  <c r="N102" i="5"/>
  <c r="M102" i="5"/>
  <c r="L102" i="5"/>
  <c r="K102" i="5"/>
  <c r="J102" i="5"/>
  <c r="I102" i="5"/>
  <c r="F102" i="5" s="1"/>
  <c r="P13" i="5" s="1" a="1"/>
  <c r="C56" i="3"/>
  <c r="C65" i="6" s="1"/>
  <c r="C57" i="3"/>
  <c r="C67" i="6" s="1"/>
  <c r="C66" i="6"/>
  <c r="C26" i="3"/>
  <c r="C31" i="3"/>
  <c r="W37" i="3"/>
  <c r="W40" i="3" s="1"/>
  <c r="W8" i="4"/>
  <c r="B62" i="6" a="1"/>
  <c r="V37" i="3"/>
  <c r="V40" i="3" s="1"/>
  <c r="V8" i="4"/>
  <c r="B61" i="6" a="1"/>
  <c r="U37" i="3"/>
  <c r="U40" i="3" s="1"/>
  <c r="U8" i="4"/>
  <c r="B60" i="6" a="1"/>
  <c r="T37" i="3"/>
  <c r="T40" i="3" s="1"/>
  <c r="T8" i="4"/>
  <c r="B59" i="6" a="1"/>
  <c r="S37" i="3"/>
  <c r="S40" i="3" s="1"/>
  <c r="S8" i="4"/>
  <c r="B58" i="6" a="1"/>
  <c r="R37" i="3"/>
  <c r="R40" i="3" s="1"/>
  <c r="R8" i="4"/>
  <c r="B57" i="6" a="1"/>
  <c r="Q37" i="3"/>
  <c r="Q40" i="3" s="1"/>
  <c r="Q8" i="4"/>
  <c r="B56" i="6" a="1"/>
  <c r="P37" i="3"/>
  <c r="P40" i="3" s="1"/>
  <c r="P8" i="4"/>
  <c r="B55" i="6" a="1"/>
  <c r="O37" i="3"/>
  <c r="O40" i="3" s="1"/>
  <c r="O8" i="4"/>
  <c r="B54" i="6" a="1"/>
  <c r="N37" i="3"/>
  <c r="N40" i="3" s="1"/>
  <c r="N8" i="4"/>
  <c r="B53" i="6" a="1"/>
  <c r="M37" i="3"/>
  <c r="M40" i="3" s="1"/>
  <c r="M8" i="4"/>
  <c r="B52" i="6" a="1"/>
  <c r="L37" i="3"/>
  <c r="L40" i="3" s="1"/>
  <c r="L8" i="4"/>
  <c r="B51" i="6" a="1"/>
  <c r="K37" i="3"/>
  <c r="K40" i="3" s="1"/>
  <c r="K8" i="4"/>
  <c r="B50" i="6" a="1"/>
  <c r="J37" i="3"/>
  <c r="J40" i="3" s="1"/>
  <c r="J8" i="4"/>
  <c r="B49" i="6" a="1"/>
  <c r="I37" i="3"/>
  <c r="I40" i="3" s="1"/>
  <c r="I8" i="4"/>
  <c r="B48" i="6" a="1"/>
  <c r="H37" i="3"/>
  <c r="H40" i="3" s="1"/>
  <c r="H8" i="4"/>
  <c r="B47" i="6" a="1"/>
  <c r="G37" i="3"/>
  <c r="G40" i="3" s="1"/>
  <c r="G8" i="4"/>
  <c r="B46" i="6" a="1"/>
  <c r="F37" i="3"/>
  <c r="F40" i="3" s="1"/>
  <c r="F8" i="4"/>
  <c r="B45" i="6" a="1"/>
  <c r="E37" i="3"/>
  <c r="E40" i="3" s="1"/>
  <c r="E8" i="4"/>
  <c r="B44" i="6" a="1"/>
  <c r="D37" i="3"/>
  <c r="D8" i="4"/>
  <c r="C10" i="6"/>
  <c r="C11" i="6"/>
  <c r="B43" i="6" a="1"/>
  <c r="F92" i="5"/>
  <c r="M12" i="5" s="1" a="1"/>
  <c r="I95" i="5" l="1"/>
  <c r="J95" i="5"/>
  <c r="K95" i="5"/>
  <c r="L95" i="5"/>
  <c r="M95" i="5"/>
  <c r="N95" i="5"/>
  <c r="O95" i="5"/>
  <c r="P95" i="5"/>
  <c r="Q95" i="5"/>
  <c r="R95" i="5"/>
  <c r="S95" i="5"/>
  <c r="T95" i="5"/>
  <c r="U95" i="5"/>
  <c r="V95" i="5"/>
  <c r="W95" i="5"/>
  <c r="X95" i="5"/>
  <c r="Y95" i="5"/>
  <c r="Z95" i="5"/>
  <c r="AA95" i="5"/>
  <c r="AB95" i="5"/>
  <c r="H95" i="5"/>
  <c r="B96" i="5" a="1"/>
  <c r="B103" i="5" a="1"/>
  <c r="B110" i="5" a="1"/>
  <c r="H110" i="5" s="1"/>
  <c r="B117" i="5" a="1"/>
  <c r="H117" i="5" s="1"/>
  <c r="B124" i="5" a="1"/>
  <c r="H124" i="5" s="1"/>
  <c r="B131" i="5" a="1"/>
  <c r="H131" i="5" s="1"/>
  <c r="B138" i="5" a="1"/>
  <c r="H138" i="5" s="1"/>
  <c r="R11" i="5"/>
  <c r="F43" i="5"/>
  <c r="E24" i="5" s="1" a="1"/>
  <c r="E43" i="5"/>
  <c r="E12" i="5" s="1" a="1"/>
  <c r="AB44" i="5"/>
  <c r="AA44" i="5"/>
  <c r="Z44" i="5"/>
  <c r="Y44" i="5"/>
  <c r="X44" i="5"/>
  <c r="W44" i="5"/>
  <c r="V44" i="5"/>
  <c r="U44" i="5"/>
  <c r="T44" i="5"/>
  <c r="S44" i="5"/>
  <c r="R44" i="5"/>
  <c r="Q44" i="5"/>
  <c r="P44" i="5"/>
  <c r="O44" i="5"/>
  <c r="N44" i="5"/>
  <c r="M44" i="5"/>
  <c r="L44" i="5"/>
  <c r="K44" i="5"/>
  <c r="J44" i="5"/>
  <c r="I44" i="5"/>
  <c r="I51" i="5"/>
  <c r="J51" i="5"/>
  <c r="K51" i="5"/>
  <c r="L51" i="5"/>
  <c r="M51" i="5"/>
  <c r="N51" i="5"/>
  <c r="O51" i="5"/>
  <c r="P51" i="5"/>
  <c r="Q51" i="5"/>
  <c r="R51" i="5"/>
  <c r="S51" i="5"/>
  <c r="T51" i="5"/>
  <c r="U51" i="5"/>
  <c r="V51" i="5"/>
  <c r="W51" i="5"/>
  <c r="X51" i="5"/>
  <c r="Y51" i="5"/>
  <c r="Z51" i="5"/>
  <c r="AA51" i="5"/>
  <c r="AB51" i="5"/>
  <c r="D45" i="5" a="1"/>
  <c r="D52" i="5" a="1"/>
  <c r="D59" i="5" a="1"/>
  <c r="D66" i="5" a="1"/>
  <c r="D73" i="5" a="1"/>
  <c r="D80" i="5" a="1"/>
  <c r="D87" i="5" a="1"/>
  <c r="G23" i="5"/>
  <c r="H11" i="5"/>
  <c r="F55" i="5"/>
  <c r="C26" i="5" s="1" a="1"/>
  <c r="E55" i="5"/>
  <c r="C14" i="5" s="1" a="1"/>
  <c r="F56" i="5"/>
  <c r="D26" i="5" s="1" a="1"/>
  <c r="E56" i="5"/>
  <c r="D14" i="5" s="1" a="1"/>
  <c r="F57" i="5"/>
  <c r="E26" i="5" s="1" a="1"/>
  <c r="E57" i="5"/>
  <c r="E14" i="5" s="1" a="1"/>
  <c r="F58" i="5"/>
  <c r="F26" i="5" s="1" a="1"/>
  <c r="E58" i="5"/>
  <c r="F14" i="5" s="1" a="1"/>
  <c r="AB106" i="5"/>
  <c r="AA106" i="5"/>
  <c r="Z106" i="5"/>
  <c r="Y106" i="5"/>
  <c r="X106" i="5"/>
  <c r="W106" i="5"/>
  <c r="V106" i="5"/>
  <c r="U106" i="5"/>
  <c r="T106" i="5"/>
  <c r="S106" i="5"/>
  <c r="R106" i="5"/>
  <c r="Q106" i="5"/>
  <c r="P106" i="5"/>
  <c r="O106" i="5"/>
  <c r="N106" i="5"/>
  <c r="M106" i="5"/>
  <c r="L106" i="5"/>
  <c r="K106" i="5"/>
  <c r="J106" i="5"/>
  <c r="I106" i="5"/>
  <c r="F106" i="5" s="1"/>
  <c r="M14" i="5" s="1" a="1"/>
  <c r="AB107" i="5"/>
  <c r="AA107" i="5"/>
  <c r="Z107" i="5"/>
  <c r="Y107" i="5"/>
  <c r="X107" i="5"/>
  <c r="W107" i="5"/>
  <c r="V107" i="5"/>
  <c r="U107" i="5"/>
  <c r="T107" i="5"/>
  <c r="S107" i="5"/>
  <c r="R107" i="5"/>
  <c r="Q107" i="5"/>
  <c r="P107" i="5"/>
  <c r="O107" i="5"/>
  <c r="N107" i="5"/>
  <c r="M107" i="5"/>
  <c r="L107" i="5"/>
  <c r="K107" i="5"/>
  <c r="J107" i="5"/>
  <c r="I107" i="5"/>
  <c r="F107" i="5" s="1"/>
  <c r="N14" i="5" s="1" a="1"/>
  <c r="AB108" i="5"/>
  <c r="AA108" i="5"/>
  <c r="Z108" i="5"/>
  <c r="Y108" i="5"/>
  <c r="X108" i="5"/>
  <c r="W108" i="5"/>
  <c r="V108" i="5"/>
  <c r="U108" i="5"/>
  <c r="T108" i="5"/>
  <c r="S108" i="5"/>
  <c r="R108" i="5"/>
  <c r="Q108" i="5"/>
  <c r="P108" i="5"/>
  <c r="O108" i="5"/>
  <c r="N108" i="5"/>
  <c r="M108" i="5"/>
  <c r="L108" i="5"/>
  <c r="K108" i="5"/>
  <c r="J108" i="5"/>
  <c r="I108" i="5"/>
  <c r="F108" i="5" s="1"/>
  <c r="O14" i="5" s="1" a="1"/>
  <c r="AB109" i="5"/>
  <c r="AA109" i="5"/>
  <c r="Z109" i="5"/>
  <c r="Y109" i="5"/>
  <c r="X109" i="5"/>
  <c r="W109" i="5"/>
  <c r="V109" i="5"/>
  <c r="U109" i="5"/>
  <c r="T109" i="5"/>
  <c r="S109" i="5"/>
  <c r="R109" i="5"/>
  <c r="Q109" i="5"/>
  <c r="P109" i="5"/>
  <c r="O109" i="5"/>
  <c r="N109" i="5"/>
  <c r="M109" i="5"/>
  <c r="L109" i="5"/>
  <c r="K109" i="5"/>
  <c r="J109" i="5"/>
  <c r="I109" i="5"/>
  <c r="F109" i="5" s="1"/>
  <c r="P14" i="5" s="1" a="1"/>
  <c r="AB110" i="5"/>
  <c r="AA110" i="5"/>
  <c r="Z110" i="5"/>
  <c r="Y110" i="5"/>
  <c r="X110" i="5"/>
  <c r="W110" i="5"/>
  <c r="V110" i="5"/>
  <c r="U110" i="5"/>
  <c r="T110" i="5"/>
  <c r="S110" i="5"/>
  <c r="R110" i="5"/>
  <c r="Q110" i="5"/>
  <c r="P110" i="5"/>
  <c r="O110" i="5"/>
  <c r="N110" i="5"/>
  <c r="M110" i="5"/>
  <c r="L110" i="5"/>
  <c r="K110" i="5"/>
  <c r="J110" i="5"/>
  <c r="I110" i="5"/>
  <c r="F110" i="5" s="1"/>
  <c r="Q14" i="5" s="1" a="1"/>
  <c r="AB62" i="5"/>
  <c r="AA62" i="5"/>
  <c r="Z62" i="5"/>
  <c r="Y62" i="5"/>
  <c r="X62" i="5"/>
  <c r="W62" i="5"/>
  <c r="V62" i="5"/>
  <c r="U62" i="5"/>
  <c r="T62" i="5"/>
  <c r="S62" i="5"/>
  <c r="R62" i="5"/>
  <c r="Q62" i="5"/>
  <c r="P62" i="5"/>
  <c r="O62" i="5"/>
  <c r="N62" i="5"/>
  <c r="M62" i="5"/>
  <c r="L62" i="5"/>
  <c r="K62" i="5"/>
  <c r="J62" i="5"/>
  <c r="I62" i="5"/>
  <c r="AB63" i="5"/>
  <c r="AA63" i="5"/>
  <c r="Z63" i="5"/>
  <c r="Y63" i="5"/>
  <c r="X63" i="5"/>
  <c r="W63" i="5"/>
  <c r="V63" i="5"/>
  <c r="U63" i="5"/>
  <c r="T63" i="5"/>
  <c r="S63" i="5"/>
  <c r="R63" i="5"/>
  <c r="Q63" i="5"/>
  <c r="P63" i="5"/>
  <c r="O63" i="5"/>
  <c r="N63" i="5"/>
  <c r="M63" i="5"/>
  <c r="L63" i="5"/>
  <c r="K63" i="5"/>
  <c r="J63" i="5"/>
  <c r="I63" i="5"/>
  <c r="AB64" i="5"/>
  <c r="AA64" i="5"/>
  <c r="Z64" i="5"/>
  <c r="Y64" i="5"/>
  <c r="X64" i="5"/>
  <c r="W64" i="5"/>
  <c r="V64" i="5"/>
  <c r="U64" i="5"/>
  <c r="T64" i="5"/>
  <c r="S64" i="5"/>
  <c r="R64" i="5"/>
  <c r="Q64" i="5"/>
  <c r="P64" i="5"/>
  <c r="O64" i="5"/>
  <c r="N64" i="5"/>
  <c r="M64" i="5"/>
  <c r="L64" i="5"/>
  <c r="K64" i="5"/>
  <c r="J64" i="5"/>
  <c r="I64" i="5"/>
  <c r="AB65" i="5"/>
  <c r="AA65" i="5"/>
  <c r="Z65" i="5"/>
  <c r="Y65" i="5"/>
  <c r="X65" i="5"/>
  <c r="W65" i="5"/>
  <c r="V65" i="5"/>
  <c r="U65" i="5"/>
  <c r="T65" i="5"/>
  <c r="S65" i="5"/>
  <c r="R65" i="5"/>
  <c r="Q65" i="5"/>
  <c r="P65" i="5"/>
  <c r="O65" i="5"/>
  <c r="N65" i="5"/>
  <c r="M65" i="5"/>
  <c r="L65" i="5"/>
  <c r="K65" i="5"/>
  <c r="J65" i="5"/>
  <c r="I65" i="5"/>
  <c r="AB66" i="5"/>
  <c r="AA66" i="5"/>
  <c r="Z66" i="5"/>
  <c r="Y66" i="5"/>
  <c r="X66" i="5"/>
  <c r="W66" i="5"/>
  <c r="V66" i="5"/>
  <c r="U66" i="5"/>
  <c r="T66" i="5"/>
  <c r="S66" i="5"/>
  <c r="R66" i="5"/>
  <c r="Q66" i="5"/>
  <c r="P66" i="5"/>
  <c r="O66" i="5"/>
  <c r="N66" i="5"/>
  <c r="M66" i="5"/>
  <c r="L66" i="5"/>
  <c r="K66" i="5"/>
  <c r="J66" i="5"/>
  <c r="I66" i="5"/>
  <c r="C113" i="5" a="1"/>
  <c r="D113" i="5" s="1"/>
  <c r="C114" i="5" a="1"/>
  <c r="D114" i="5" s="1"/>
  <c r="C115" i="5" a="1"/>
  <c r="D115" i="5" s="1"/>
  <c r="C116" i="5" a="1"/>
  <c r="D116" i="5" s="1"/>
  <c r="C117" i="5" a="1"/>
  <c r="D117" i="5" s="1"/>
  <c r="C118" i="5" a="1"/>
  <c r="D118" i="5" s="1"/>
  <c r="C119" i="5" a="1"/>
  <c r="D119" i="5" s="1"/>
  <c r="B69" i="5" a="1"/>
  <c r="C69" i="5" s="1"/>
  <c r="B70" i="5" a="1"/>
  <c r="C70" i="5" s="1"/>
  <c r="B71" i="5" a="1"/>
  <c r="C71" i="5" s="1"/>
  <c r="B72" i="5" a="1"/>
  <c r="C72" i="5" s="1"/>
  <c r="B73" i="5" a="1"/>
  <c r="C73" i="5" s="1"/>
  <c r="B74" i="5" a="1"/>
  <c r="C74" i="5" s="1"/>
  <c r="B75" i="5" a="1"/>
  <c r="C75" i="5" s="1"/>
  <c r="B28" i="5"/>
  <c r="L16" i="5"/>
  <c r="B17" i="5"/>
  <c r="C27" i="3"/>
  <c r="C32" i="3" s="1"/>
  <c r="C34" i="3" s="1"/>
  <c r="C28" i="3"/>
  <c r="C60" i="4"/>
  <c r="C37" i="3"/>
  <c r="C8" i="4"/>
  <c r="W10" i="4"/>
  <c r="W12" i="4" s="1"/>
  <c r="W58" i="4"/>
  <c r="V10" i="4"/>
  <c r="V12" i="4" s="1"/>
  <c r="V58" i="4"/>
  <c r="U10" i="4"/>
  <c r="U12" i="4" s="1"/>
  <c r="U58" i="4"/>
  <c r="T10" i="4"/>
  <c r="T12" i="4" s="1"/>
  <c r="T58" i="4"/>
  <c r="S10" i="4"/>
  <c r="S12" i="4" s="1"/>
  <c r="S58" i="4"/>
  <c r="R10" i="4"/>
  <c r="R12" i="4" s="1"/>
  <c r="R58" i="4"/>
  <c r="Q10" i="4"/>
  <c r="Q12" i="4" s="1"/>
  <c r="Q58" i="4"/>
  <c r="P10" i="4"/>
  <c r="P12" i="4" s="1"/>
  <c r="P58" i="4"/>
  <c r="O10" i="4"/>
  <c r="O12" i="4" s="1"/>
  <c r="O58" i="4"/>
  <c r="N10" i="4"/>
  <c r="N12" i="4" s="1"/>
  <c r="N58" i="4"/>
  <c r="M10" i="4"/>
  <c r="M12" i="4" s="1"/>
  <c r="M58" i="4"/>
  <c r="L10" i="4"/>
  <c r="L12" i="4" s="1"/>
  <c r="L58" i="4"/>
  <c r="K10" i="4"/>
  <c r="K12" i="4" s="1"/>
  <c r="K58" i="4"/>
  <c r="J10" i="4"/>
  <c r="J12" i="4" s="1"/>
  <c r="J58" i="4"/>
  <c r="I10" i="4"/>
  <c r="I12" i="4" s="1"/>
  <c r="I58" i="4"/>
  <c r="H10" i="4"/>
  <c r="H12" i="4" s="1"/>
  <c r="H58" i="4"/>
  <c r="G10" i="4"/>
  <c r="G12" i="4" s="1"/>
  <c r="G58" i="4"/>
  <c r="F10" i="4"/>
  <c r="F12" i="4" s="1"/>
  <c r="F58" i="4"/>
  <c r="E10" i="4"/>
  <c r="E58" i="4"/>
  <c r="C48" i="3"/>
  <c r="D40" i="3"/>
  <c r="D10" i="4"/>
  <c r="D58" i="4"/>
  <c r="I96" i="5" l="1"/>
  <c r="J96" i="5"/>
  <c r="K96" i="5"/>
  <c r="L96" i="5"/>
  <c r="M96" i="5"/>
  <c r="N96" i="5"/>
  <c r="O96" i="5"/>
  <c r="P96" i="5"/>
  <c r="Q96" i="5"/>
  <c r="R96" i="5"/>
  <c r="S96" i="5"/>
  <c r="T96" i="5"/>
  <c r="U96" i="5"/>
  <c r="V96" i="5"/>
  <c r="W96" i="5"/>
  <c r="X96" i="5"/>
  <c r="Y96" i="5"/>
  <c r="Z96" i="5"/>
  <c r="AA96" i="5"/>
  <c r="AB96" i="5"/>
  <c r="H96" i="5"/>
  <c r="I103" i="5"/>
  <c r="J103" i="5"/>
  <c r="K103" i="5"/>
  <c r="L103" i="5"/>
  <c r="M103" i="5"/>
  <c r="N103" i="5"/>
  <c r="O103" i="5"/>
  <c r="P103" i="5"/>
  <c r="Q103" i="5"/>
  <c r="R103" i="5"/>
  <c r="S103" i="5"/>
  <c r="T103" i="5"/>
  <c r="U103" i="5"/>
  <c r="V103" i="5"/>
  <c r="W103" i="5"/>
  <c r="X103" i="5"/>
  <c r="Y103" i="5"/>
  <c r="Z103" i="5"/>
  <c r="AA103" i="5"/>
  <c r="AB103" i="5"/>
  <c r="H103" i="5"/>
  <c r="B97" i="5" a="1"/>
  <c r="B104" i="5" a="1"/>
  <c r="B111" i="5" a="1"/>
  <c r="B118" i="5" a="1"/>
  <c r="H118" i="5" s="1"/>
  <c r="B125" i="5" a="1"/>
  <c r="H125" i="5" s="1"/>
  <c r="B132" i="5" a="1"/>
  <c r="H132" i="5" s="1"/>
  <c r="B139" i="5" a="1"/>
  <c r="H139" i="5" s="1"/>
  <c r="S11" i="5"/>
  <c r="F95" i="5"/>
  <c r="P12" i="5" s="1" a="1"/>
  <c r="F44" i="5"/>
  <c r="F24" i="5" s="1" a="1"/>
  <c r="E44" i="5"/>
  <c r="F12" i="5" s="1" a="1"/>
  <c r="E51" i="5"/>
  <c r="F13" i="5" s="1" a="1"/>
  <c r="F51" i="5"/>
  <c r="F25" i="5" s="1" a="1"/>
  <c r="AB45" i="5"/>
  <c r="AA45" i="5"/>
  <c r="Z45" i="5"/>
  <c r="Y45" i="5"/>
  <c r="X45" i="5"/>
  <c r="W45" i="5"/>
  <c r="V45" i="5"/>
  <c r="U45" i="5"/>
  <c r="T45" i="5"/>
  <c r="S45" i="5"/>
  <c r="R45" i="5"/>
  <c r="Q45" i="5"/>
  <c r="P45" i="5"/>
  <c r="O45" i="5"/>
  <c r="N45" i="5"/>
  <c r="M45" i="5"/>
  <c r="L45" i="5"/>
  <c r="K45" i="5"/>
  <c r="J45" i="5"/>
  <c r="I45" i="5"/>
  <c r="I52" i="5"/>
  <c r="J52" i="5"/>
  <c r="K52" i="5"/>
  <c r="L52" i="5"/>
  <c r="M52" i="5"/>
  <c r="N52" i="5"/>
  <c r="O52" i="5"/>
  <c r="P52" i="5"/>
  <c r="Q52" i="5"/>
  <c r="R52" i="5"/>
  <c r="S52" i="5"/>
  <c r="T52" i="5"/>
  <c r="U52" i="5"/>
  <c r="V52" i="5"/>
  <c r="W52" i="5"/>
  <c r="X52" i="5"/>
  <c r="Y52" i="5"/>
  <c r="Z52" i="5"/>
  <c r="AA52" i="5"/>
  <c r="AB52" i="5"/>
  <c r="I59" i="5"/>
  <c r="J59" i="5"/>
  <c r="K59" i="5"/>
  <c r="L59" i="5"/>
  <c r="M59" i="5"/>
  <c r="N59" i="5"/>
  <c r="O59" i="5"/>
  <c r="P59" i="5"/>
  <c r="Q59" i="5"/>
  <c r="R59" i="5"/>
  <c r="S59" i="5"/>
  <c r="T59" i="5"/>
  <c r="U59" i="5"/>
  <c r="V59" i="5"/>
  <c r="W59" i="5"/>
  <c r="X59" i="5"/>
  <c r="Y59" i="5"/>
  <c r="Z59" i="5"/>
  <c r="AA59" i="5"/>
  <c r="AB59" i="5"/>
  <c r="D46" i="5" a="1"/>
  <c r="D53" i="5" a="1"/>
  <c r="D60" i="5" a="1"/>
  <c r="D67" i="5" a="1"/>
  <c r="D74" i="5" a="1"/>
  <c r="D81" i="5" a="1"/>
  <c r="D88" i="5" a="1"/>
  <c r="H23" i="5"/>
  <c r="I11" i="5"/>
  <c r="F62" i="5"/>
  <c r="C27" i="5" s="1" a="1"/>
  <c r="E62" i="5"/>
  <c r="C15" i="5" s="1" a="1"/>
  <c r="F63" i="5"/>
  <c r="D27" i="5" s="1" a="1"/>
  <c r="E63" i="5"/>
  <c r="D15" i="5" s="1" a="1"/>
  <c r="F64" i="5"/>
  <c r="E27" i="5" s="1" a="1"/>
  <c r="E64" i="5"/>
  <c r="E15" i="5" s="1" a="1"/>
  <c r="F65" i="5"/>
  <c r="F27" i="5" s="1" a="1"/>
  <c r="E65" i="5"/>
  <c r="F15" i="5" s="1" a="1"/>
  <c r="F66" i="5"/>
  <c r="G27" i="5" s="1" a="1"/>
  <c r="E66" i="5"/>
  <c r="G15" i="5" s="1" a="1"/>
  <c r="AB113" i="5"/>
  <c r="AA113" i="5"/>
  <c r="Z113" i="5"/>
  <c r="Y113" i="5"/>
  <c r="X113" i="5"/>
  <c r="W113" i="5"/>
  <c r="V113" i="5"/>
  <c r="U113" i="5"/>
  <c r="T113" i="5"/>
  <c r="S113" i="5"/>
  <c r="R113" i="5"/>
  <c r="Q113" i="5"/>
  <c r="P113" i="5"/>
  <c r="O113" i="5"/>
  <c r="N113" i="5"/>
  <c r="M113" i="5"/>
  <c r="L113" i="5"/>
  <c r="K113" i="5"/>
  <c r="J113" i="5"/>
  <c r="I113" i="5"/>
  <c r="F113" i="5" s="1"/>
  <c r="M15" i="5" s="1" a="1"/>
  <c r="AB114" i="5"/>
  <c r="AA114" i="5"/>
  <c r="Z114" i="5"/>
  <c r="Y114" i="5"/>
  <c r="X114" i="5"/>
  <c r="W114" i="5"/>
  <c r="V114" i="5"/>
  <c r="U114" i="5"/>
  <c r="T114" i="5"/>
  <c r="S114" i="5"/>
  <c r="R114" i="5"/>
  <c r="Q114" i="5"/>
  <c r="P114" i="5"/>
  <c r="O114" i="5"/>
  <c r="N114" i="5"/>
  <c r="M114" i="5"/>
  <c r="L114" i="5"/>
  <c r="K114" i="5"/>
  <c r="J114" i="5"/>
  <c r="I114" i="5"/>
  <c r="F114" i="5" s="1"/>
  <c r="N15" i="5" s="1" a="1"/>
  <c r="AB115" i="5"/>
  <c r="AA115" i="5"/>
  <c r="Z115" i="5"/>
  <c r="Y115" i="5"/>
  <c r="X115" i="5"/>
  <c r="W115" i="5"/>
  <c r="V115" i="5"/>
  <c r="U115" i="5"/>
  <c r="T115" i="5"/>
  <c r="S115" i="5"/>
  <c r="R115" i="5"/>
  <c r="Q115" i="5"/>
  <c r="P115" i="5"/>
  <c r="O115" i="5"/>
  <c r="N115" i="5"/>
  <c r="M115" i="5"/>
  <c r="L115" i="5"/>
  <c r="K115" i="5"/>
  <c r="J115" i="5"/>
  <c r="I115" i="5"/>
  <c r="F115" i="5" s="1"/>
  <c r="O15" i="5" s="1" a="1"/>
  <c r="AB116" i="5"/>
  <c r="AA116" i="5"/>
  <c r="Z116" i="5"/>
  <c r="Y116" i="5"/>
  <c r="X116" i="5"/>
  <c r="W116" i="5"/>
  <c r="V116" i="5"/>
  <c r="U116" i="5"/>
  <c r="T116" i="5"/>
  <c r="S116" i="5"/>
  <c r="R116" i="5"/>
  <c r="Q116" i="5"/>
  <c r="P116" i="5"/>
  <c r="O116" i="5"/>
  <c r="N116" i="5"/>
  <c r="M116" i="5"/>
  <c r="L116" i="5"/>
  <c r="K116" i="5"/>
  <c r="J116" i="5"/>
  <c r="I116" i="5"/>
  <c r="F116" i="5" s="1"/>
  <c r="P15" i="5" s="1" a="1"/>
  <c r="AB117" i="5"/>
  <c r="AA117" i="5"/>
  <c r="Z117" i="5"/>
  <c r="Y117" i="5"/>
  <c r="X117" i="5"/>
  <c r="W117" i="5"/>
  <c r="V117" i="5"/>
  <c r="U117" i="5"/>
  <c r="T117" i="5"/>
  <c r="S117" i="5"/>
  <c r="R117" i="5"/>
  <c r="Q117" i="5"/>
  <c r="P117" i="5"/>
  <c r="O117" i="5"/>
  <c r="N117" i="5"/>
  <c r="M117" i="5"/>
  <c r="L117" i="5"/>
  <c r="K117" i="5"/>
  <c r="J117" i="5"/>
  <c r="I117" i="5"/>
  <c r="F117" i="5" s="1"/>
  <c r="Q15" i="5" s="1" a="1"/>
  <c r="AB118" i="5"/>
  <c r="AA118" i="5"/>
  <c r="Z118" i="5"/>
  <c r="Y118" i="5"/>
  <c r="X118" i="5"/>
  <c r="W118" i="5"/>
  <c r="V118" i="5"/>
  <c r="U118" i="5"/>
  <c r="T118" i="5"/>
  <c r="S118" i="5"/>
  <c r="R118" i="5"/>
  <c r="Q118" i="5"/>
  <c r="P118" i="5"/>
  <c r="O118" i="5"/>
  <c r="N118" i="5"/>
  <c r="M118" i="5"/>
  <c r="L118" i="5"/>
  <c r="K118" i="5"/>
  <c r="J118" i="5"/>
  <c r="I118" i="5"/>
  <c r="F118" i="5" s="1"/>
  <c r="R15" i="5" s="1" a="1"/>
  <c r="AB69" i="5"/>
  <c r="AA69" i="5"/>
  <c r="Z69" i="5"/>
  <c r="Y69" i="5"/>
  <c r="X69" i="5"/>
  <c r="W69" i="5"/>
  <c r="V69" i="5"/>
  <c r="U69" i="5"/>
  <c r="T69" i="5"/>
  <c r="S69" i="5"/>
  <c r="R69" i="5"/>
  <c r="Q69" i="5"/>
  <c r="P69" i="5"/>
  <c r="O69" i="5"/>
  <c r="N69" i="5"/>
  <c r="M69" i="5"/>
  <c r="L69" i="5"/>
  <c r="K69" i="5"/>
  <c r="J69" i="5"/>
  <c r="I69" i="5"/>
  <c r="AB70" i="5"/>
  <c r="AA70" i="5"/>
  <c r="Z70" i="5"/>
  <c r="Y70" i="5"/>
  <c r="X70" i="5"/>
  <c r="W70" i="5"/>
  <c r="V70" i="5"/>
  <c r="U70" i="5"/>
  <c r="T70" i="5"/>
  <c r="S70" i="5"/>
  <c r="R70" i="5"/>
  <c r="Q70" i="5"/>
  <c r="P70" i="5"/>
  <c r="O70" i="5"/>
  <c r="N70" i="5"/>
  <c r="M70" i="5"/>
  <c r="L70" i="5"/>
  <c r="K70" i="5"/>
  <c r="J70" i="5"/>
  <c r="I70" i="5"/>
  <c r="AB71" i="5"/>
  <c r="AA71" i="5"/>
  <c r="Z71" i="5"/>
  <c r="Y71" i="5"/>
  <c r="X71" i="5"/>
  <c r="W71" i="5"/>
  <c r="V71" i="5"/>
  <c r="U71" i="5"/>
  <c r="T71" i="5"/>
  <c r="S71" i="5"/>
  <c r="R71" i="5"/>
  <c r="Q71" i="5"/>
  <c r="P71" i="5"/>
  <c r="O71" i="5"/>
  <c r="N71" i="5"/>
  <c r="M71" i="5"/>
  <c r="L71" i="5"/>
  <c r="K71" i="5"/>
  <c r="J71" i="5"/>
  <c r="I71" i="5"/>
  <c r="AB72" i="5"/>
  <c r="AA72" i="5"/>
  <c r="Z72" i="5"/>
  <c r="Y72" i="5"/>
  <c r="X72" i="5"/>
  <c r="W72" i="5"/>
  <c r="V72" i="5"/>
  <c r="U72" i="5"/>
  <c r="T72" i="5"/>
  <c r="S72" i="5"/>
  <c r="R72" i="5"/>
  <c r="Q72" i="5"/>
  <c r="P72" i="5"/>
  <c r="O72" i="5"/>
  <c r="N72" i="5"/>
  <c r="M72" i="5"/>
  <c r="L72" i="5"/>
  <c r="K72" i="5"/>
  <c r="J72" i="5"/>
  <c r="I72" i="5"/>
  <c r="AB73" i="5"/>
  <c r="AA73" i="5"/>
  <c r="Z73" i="5"/>
  <c r="Y73" i="5"/>
  <c r="X73" i="5"/>
  <c r="W73" i="5"/>
  <c r="V73" i="5"/>
  <c r="U73" i="5"/>
  <c r="T73" i="5"/>
  <c r="S73" i="5"/>
  <c r="R73" i="5"/>
  <c r="Q73" i="5"/>
  <c r="P73" i="5"/>
  <c r="O73" i="5"/>
  <c r="N73" i="5"/>
  <c r="M73" i="5"/>
  <c r="L73" i="5"/>
  <c r="K73" i="5"/>
  <c r="J73" i="5"/>
  <c r="I73" i="5"/>
  <c r="AB74" i="5"/>
  <c r="AA74" i="5"/>
  <c r="Z74" i="5"/>
  <c r="Y74" i="5"/>
  <c r="X74" i="5"/>
  <c r="W74" i="5"/>
  <c r="V74" i="5"/>
  <c r="U74" i="5"/>
  <c r="T74" i="5"/>
  <c r="S74" i="5"/>
  <c r="R74" i="5"/>
  <c r="Q74" i="5"/>
  <c r="P74" i="5"/>
  <c r="O74" i="5"/>
  <c r="N74" i="5"/>
  <c r="M74" i="5"/>
  <c r="L74" i="5"/>
  <c r="K74" i="5"/>
  <c r="J74" i="5"/>
  <c r="I74" i="5"/>
  <c r="C120" i="5" a="1"/>
  <c r="D120" i="5" s="1"/>
  <c r="C121" i="5" a="1"/>
  <c r="D121" i="5" s="1"/>
  <c r="C122" i="5" a="1"/>
  <c r="D122" i="5" s="1"/>
  <c r="C123" i="5" a="1"/>
  <c r="D123" i="5" s="1"/>
  <c r="C124" i="5" a="1"/>
  <c r="D124" i="5" s="1"/>
  <c r="C125" i="5" a="1"/>
  <c r="D125" i="5" s="1"/>
  <c r="C126" i="5" a="1"/>
  <c r="D126" i="5" s="1"/>
  <c r="B76" i="5" a="1"/>
  <c r="C76" i="5" s="1"/>
  <c r="B77" i="5" a="1"/>
  <c r="C77" i="5" s="1"/>
  <c r="B78" i="5" a="1"/>
  <c r="C78" i="5" s="1"/>
  <c r="B79" i="5" a="1"/>
  <c r="C79" i="5" s="1"/>
  <c r="B80" i="5" a="1"/>
  <c r="C80" i="5" s="1"/>
  <c r="B81" i="5" a="1"/>
  <c r="C81" i="5" s="1"/>
  <c r="B82" i="5" a="1"/>
  <c r="C82" i="5" s="1"/>
  <c r="B29" i="5"/>
  <c r="L17" i="5"/>
  <c r="B18" i="5"/>
  <c r="C38" i="3"/>
  <c r="D38" i="3" s="1"/>
  <c r="E38" i="3" s="1"/>
  <c r="F38" i="3" s="1"/>
  <c r="G38" i="3" s="1"/>
  <c r="H38" i="3" s="1"/>
  <c r="I38" i="3" s="1"/>
  <c r="J38" i="3" s="1"/>
  <c r="K38" i="3" s="1"/>
  <c r="L38" i="3" s="1"/>
  <c r="M38" i="3" s="1"/>
  <c r="N38" i="3" s="1"/>
  <c r="O38" i="3" s="1"/>
  <c r="P38" i="3" s="1"/>
  <c r="Q38" i="3" s="1"/>
  <c r="R38" i="3" s="1"/>
  <c r="S38" i="3" s="1"/>
  <c r="T38" i="3" s="1"/>
  <c r="U38" i="3" s="1"/>
  <c r="V38" i="3" s="1"/>
  <c r="W38" i="3" s="1"/>
  <c r="C47" i="3" s="1"/>
  <c r="C40" i="3"/>
  <c r="C44" i="3" s="1"/>
  <c r="C43" i="3"/>
  <c r="C45" i="3"/>
  <c r="C10" i="4"/>
  <c r="C58" i="4"/>
  <c r="E12" i="4"/>
  <c r="C14" i="6"/>
  <c r="C46" i="3"/>
  <c r="D12" i="4"/>
  <c r="I97" i="5" l="1"/>
  <c r="J97" i="5"/>
  <c r="K97" i="5"/>
  <c r="L97" i="5"/>
  <c r="M97" i="5"/>
  <c r="N97" i="5"/>
  <c r="O97" i="5"/>
  <c r="P97" i="5"/>
  <c r="Q97" i="5"/>
  <c r="R97" i="5"/>
  <c r="S97" i="5"/>
  <c r="T97" i="5"/>
  <c r="U97" i="5"/>
  <c r="V97" i="5"/>
  <c r="W97" i="5"/>
  <c r="X97" i="5"/>
  <c r="Y97" i="5"/>
  <c r="Z97" i="5"/>
  <c r="AA97" i="5"/>
  <c r="AB97" i="5"/>
  <c r="H97" i="5"/>
  <c r="I104" i="5"/>
  <c r="J104" i="5"/>
  <c r="K104" i="5"/>
  <c r="L104" i="5"/>
  <c r="M104" i="5"/>
  <c r="N104" i="5"/>
  <c r="O104" i="5"/>
  <c r="P104" i="5"/>
  <c r="Q104" i="5"/>
  <c r="R104" i="5"/>
  <c r="S104" i="5"/>
  <c r="T104" i="5"/>
  <c r="U104" i="5"/>
  <c r="V104" i="5"/>
  <c r="W104" i="5"/>
  <c r="X104" i="5"/>
  <c r="Y104" i="5"/>
  <c r="Z104" i="5"/>
  <c r="AA104" i="5"/>
  <c r="AB104" i="5"/>
  <c r="H104" i="5"/>
  <c r="I111" i="5"/>
  <c r="J111" i="5"/>
  <c r="K111" i="5"/>
  <c r="L111" i="5"/>
  <c r="M111" i="5"/>
  <c r="N111" i="5"/>
  <c r="O111" i="5"/>
  <c r="P111" i="5"/>
  <c r="Q111" i="5"/>
  <c r="R111" i="5"/>
  <c r="S111" i="5"/>
  <c r="T111" i="5"/>
  <c r="U111" i="5"/>
  <c r="V111" i="5"/>
  <c r="W111" i="5"/>
  <c r="X111" i="5"/>
  <c r="Y111" i="5"/>
  <c r="Z111" i="5"/>
  <c r="AA111" i="5"/>
  <c r="AB111" i="5"/>
  <c r="H111" i="5"/>
  <c r="B98" i="5" a="1"/>
  <c r="B105" i="5" a="1"/>
  <c r="B112" i="5" a="1"/>
  <c r="B119" i="5" a="1"/>
  <c r="B126" i="5" a="1"/>
  <c r="H126" i="5" s="1"/>
  <c r="B133" i="5" a="1"/>
  <c r="H133" i="5" s="1"/>
  <c r="B140" i="5" a="1"/>
  <c r="H140" i="5" s="1"/>
  <c r="F96" i="5"/>
  <c r="Q12" i="5" s="1" a="1"/>
  <c r="F103" i="5"/>
  <c r="Q13" i="5" s="1" a="1"/>
  <c r="C15" i="6"/>
  <c r="C93" i="4"/>
  <c r="F45" i="5"/>
  <c r="G24" i="5" s="1" a="1"/>
  <c r="E45" i="5"/>
  <c r="G12" i="5" s="1" a="1"/>
  <c r="E52" i="5"/>
  <c r="G13" i="5" s="1" a="1"/>
  <c r="F52" i="5"/>
  <c r="G25" i="5" s="1" a="1"/>
  <c r="E59" i="5"/>
  <c r="G14" i="5" s="1" a="1"/>
  <c r="F59" i="5"/>
  <c r="G26" i="5" s="1" a="1"/>
  <c r="AB46" i="5"/>
  <c r="AA46" i="5"/>
  <c r="Z46" i="5"/>
  <c r="Y46" i="5"/>
  <c r="X46" i="5"/>
  <c r="W46" i="5"/>
  <c r="V46" i="5"/>
  <c r="U46" i="5"/>
  <c r="T46" i="5"/>
  <c r="S46" i="5"/>
  <c r="R46" i="5"/>
  <c r="Q46" i="5"/>
  <c r="P46" i="5"/>
  <c r="O46" i="5"/>
  <c r="N46" i="5"/>
  <c r="M46" i="5"/>
  <c r="L46" i="5"/>
  <c r="K46" i="5"/>
  <c r="J46" i="5"/>
  <c r="I46" i="5"/>
  <c r="I53" i="5"/>
  <c r="J53" i="5"/>
  <c r="K53" i="5"/>
  <c r="L53" i="5"/>
  <c r="M53" i="5"/>
  <c r="N53" i="5"/>
  <c r="O53" i="5"/>
  <c r="P53" i="5"/>
  <c r="Q53" i="5"/>
  <c r="R53" i="5"/>
  <c r="S53" i="5"/>
  <c r="T53" i="5"/>
  <c r="U53" i="5"/>
  <c r="V53" i="5"/>
  <c r="W53" i="5"/>
  <c r="X53" i="5"/>
  <c r="Y53" i="5"/>
  <c r="Z53" i="5"/>
  <c r="AA53" i="5"/>
  <c r="AB53" i="5"/>
  <c r="I60" i="5"/>
  <c r="J60" i="5"/>
  <c r="K60" i="5"/>
  <c r="L60" i="5"/>
  <c r="M60" i="5"/>
  <c r="N60" i="5"/>
  <c r="O60" i="5"/>
  <c r="P60" i="5"/>
  <c r="Q60" i="5"/>
  <c r="R60" i="5"/>
  <c r="S60" i="5"/>
  <c r="T60" i="5"/>
  <c r="U60" i="5"/>
  <c r="V60" i="5"/>
  <c r="W60" i="5"/>
  <c r="X60" i="5"/>
  <c r="Y60" i="5"/>
  <c r="Z60" i="5"/>
  <c r="AA60" i="5"/>
  <c r="AB60" i="5"/>
  <c r="I67" i="5"/>
  <c r="J67" i="5"/>
  <c r="K67" i="5"/>
  <c r="L67" i="5"/>
  <c r="M67" i="5"/>
  <c r="N67" i="5"/>
  <c r="O67" i="5"/>
  <c r="P67" i="5"/>
  <c r="Q67" i="5"/>
  <c r="R67" i="5"/>
  <c r="S67" i="5"/>
  <c r="T67" i="5"/>
  <c r="U67" i="5"/>
  <c r="V67" i="5"/>
  <c r="W67" i="5"/>
  <c r="X67" i="5"/>
  <c r="Y67" i="5"/>
  <c r="Z67" i="5"/>
  <c r="AA67" i="5"/>
  <c r="AB67" i="5"/>
  <c r="D47" i="5" a="1"/>
  <c r="D54" i="5" a="1"/>
  <c r="D61" i="5" a="1"/>
  <c r="D68" i="5" a="1"/>
  <c r="D75" i="5" a="1"/>
  <c r="D82" i="5" a="1"/>
  <c r="D89" i="5" a="1"/>
  <c r="I23" i="5"/>
  <c r="F69" i="5"/>
  <c r="C28" i="5" s="1" a="1"/>
  <c r="E69" i="5"/>
  <c r="C16" i="5" s="1" a="1"/>
  <c r="F70" i="5"/>
  <c r="D28" i="5" s="1" a="1"/>
  <c r="E70" i="5"/>
  <c r="D16" i="5" s="1" a="1"/>
  <c r="F71" i="5"/>
  <c r="E28" i="5" s="1" a="1"/>
  <c r="E71" i="5"/>
  <c r="E16" i="5" s="1" a="1"/>
  <c r="F72" i="5"/>
  <c r="F28" i="5" s="1" a="1"/>
  <c r="E72" i="5"/>
  <c r="F16" i="5" s="1" a="1"/>
  <c r="F73" i="5"/>
  <c r="G28" i="5" s="1" a="1"/>
  <c r="E73" i="5"/>
  <c r="G16" i="5" s="1" a="1"/>
  <c r="F74" i="5"/>
  <c r="H28" i="5" s="1" a="1"/>
  <c r="E74" i="5"/>
  <c r="H16" i="5" s="1" a="1"/>
  <c r="AB120" i="5"/>
  <c r="AA120" i="5"/>
  <c r="Z120" i="5"/>
  <c r="Y120" i="5"/>
  <c r="X120" i="5"/>
  <c r="W120" i="5"/>
  <c r="V120" i="5"/>
  <c r="U120" i="5"/>
  <c r="T120" i="5"/>
  <c r="S120" i="5"/>
  <c r="R120" i="5"/>
  <c r="Q120" i="5"/>
  <c r="P120" i="5"/>
  <c r="O120" i="5"/>
  <c r="N120" i="5"/>
  <c r="M120" i="5"/>
  <c r="L120" i="5"/>
  <c r="K120" i="5"/>
  <c r="J120" i="5"/>
  <c r="I120" i="5"/>
  <c r="F120" i="5" s="1"/>
  <c r="M16" i="5" s="1" a="1"/>
  <c r="AB121" i="5"/>
  <c r="AA121" i="5"/>
  <c r="Z121" i="5"/>
  <c r="Y121" i="5"/>
  <c r="X121" i="5"/>
  <c r="W121" i="5"/>
  <c r="V121" i="5"/>
  <c r="U121" i="5"/>
  <c r="T121" i="5"/>
  <c r="S121" i="5"/>
  <c r="R121" i="5"/>
  <c r="Q121" i="5"/>
  <c r="P121" i="5"/>
  <c r="O121" i="5"/>
  <c r="N121" i="5"/>
  <c r="M121" i="5"/>
  <c r="L121" i="5"/>
  <c r="K121" i="5"/>
  <c r="J121" i="5"/>
  <c r="I121" i="5"/>
  <c r="F121" i="5" s="1"/>
  <c r="N16" i="5" s="1" a="1"/>
  <c r="AB122" i="5"/>
  <c r="AA122" i="5"/>
  <c r="Z122" i="5"/>
  <c r="Y122" i="5"/>
  <c r="X122" i="5"/>
  <c r="W122" i="5"/>
  <c r="V122" i="5"/>
  <c r="U122" i="5"/>
  <c r="T122" i="5"/>
  <c r="S122" i="5"/>
  <c r="R122" i="5"/>
  <c r="Q122" i="5"/>
  <c r="P122" i="5"/>
  <c r="O122" i="5"/>
  <c r="N122" i="5"/>
  <c r="M122" i="5"/>
  <c r="L122" i="5"/>
  <c r="K122" i="5"/>
  <c r="J122" i="5"/>
  <c r="I122" i="5"/>
  <c r="F122" i="5" s="1"/>
  <c r="O16" i="5" s="1" a="1"/>
  <c r="AB123" i="5"/>
  <c r="AA123" i="5"/>
  <c r="Z123" i="5"/>
  <c r="Y123" i="5"/>
  <c r="X123" i="5"/>
  <c r="W123" i="5"/>
  <c r="V123" i="5"/>
  <c r="U123" i="5"/>
  <c r="T123" i="5"/>
  <c r="S123" i="5"/>
  <c r="R123" i="5"/>
  <c r="Q123" i="5"/>
  <c r="P123" i="5"/>
  <c r="O123" i="5"/>
  <c r="N123" i="5"/>
  <c r="M123" i="5"/>
  <c r="L123" i="5"/>
  <c r="K123" i="5"/>
  <c r="J123" i="5"/>
  <c r="I123" i="5"/>
  <c r="F123" i="5" s="1"/>
  <c r="P16" i="5" s="1" a="1"/>
  <c r="AB124" i="5"/>
  <c r="AA124" i="5"/>
  <c r="Z124" i="5"/>
  <c r="Y124" i="5"/>
  <c r="X124" i="5"/>
  <c r="W124" i="5"/>
  <c r="V124" i="5"/>
  <c r="U124" i="5"/>
  <c r="T124" i="5"/>
  <c r="S124" i="5"/>
  <c r="R124" i="5"/>
  <c r="Q124" i="5"/>
  <c r="P124" i="5"/>
  <c r="O124" i="5"/>
  <c r="N124" i="5"/>
  <c r="M124" i="5"/>
  <c r="L124" i="5"/>
  <c r="K124" i="5"/>
  <c r="J124" i="5"/>
  <c r="I124" i="5"/>
  <c r="F124" i="5" s="1"/>
  <c r="Q16" i="5" s="1" a="1"/>
  <c r="AB125" i="5"/>
  <c r="AA125" i="5"/>
  <c r="Z125" i="5"/>
  <c r="Y125" i="5"/>
  <c r="X125" i="5"/>
  <c r="W125" i="5"/>
  <c r="V125" i="5"/>
  <c r="U125" i="5"/>
  <c r="T125" i="5"/>
  <c r="S125" i="5"/>
  <c r="R125" i="5"/>
  <c r="Q125" i="5"/>
  <c r="P125" i="5"/>
  <c r="O125" i="5"/>
  <c r="N125" i="5"/>
  <c r="M125" i="5"/>
  <c r="L125" i="5"/>
  <c r="K125" i="5"/>
  <c r="J125" i="5"/>
  <c r="I125" i="5"/>
  <c r="F125" i="5" s="1"/>
  <c r="R16" i="5" s="1" a="1"/>
  <c r="AB126" i="5"/>
  <c r="AA126" i="5"/>
  <c r="Z126" i="5"/>
  <c r="Y126" i="5"/>
  <c r="X126" i="5"/>
  <c r="W126" i="5"/>
  <c r="V126" i="5"/>
  <c r="U126" i="5"/>
  <c r="T126" i="5"/>
  <c r="S126" i="5"/>
  <c r="R126" i="5"/>
  <c r="Q126" i="5"/>
  <c r="P126" i="5"/>
  <c r="O126" i="5"/>
  <c r="N126" i="5"/>
  <c r="M126" i="5"/>
  <c r="L126" i="5"/>
  <c r="K126" i="5"/>
  <c r="J126" i="5"/>
  <c r="I126" i="5"/>
  <c r="F126" i="5" s="1"/>
  <c r="S16" i="5" s="1" a="1"/>
  <c r="AB76" i="5"/>
  <c r="AA76" i="5"/>
  <c r="Z76" i="5"/>
  <c r="Y76" i="5"/>
  <c r="X76" i="5"/>
  <c r="W76" i="5"/>
  <c r="V76" i="5"/>
  <c r="U76" i="5"/>
  <c r="T76" i="5"/>
  <c r="S76" i="5"/>
  <c r="R76" i="5"/>
  <c r="Q76" i="5"/>
  <c r="P76" i="5"/>
  <c r="O76" i="5"/>
  <c r="N76" i="5"/>
  <c r="M76" i="5"/>
  <c r="L76" i="5"/>
  <c r="K76" i="5"/>
  <c r="J76" i="5"/>
  <c r="I76" i="5"/>
  <c r="AB77" i="5"/>
  <c r="AA77" i="5"/>
  <c r="Z77" i="5"/>
  <c r="Y77" i="5"/>
  <c r="X77" i="5"/>
  <c r="W77" i="5"/>
  <c r="V77" i="5"/>
  <c r="U77" i="5"/>
  <c r="T77" i="5"/>
  <c r="S77" i="5"/>
  <c r="R77" i="5"/>
  <c r="Q77" i="5"/>
  <c r="P77" i="5"/>
  <c r="O77" i="5"/>
  <c r="N77" i="5"/>
  <c r="M77" i="5"/>
  <c r="L77" i="5"/>
  <c r="K77" i="5"/>
  <c r="J77" i="5"/>
  <c r="I77" i="5"/>
  <c r="AB78" i="5"/>
  <c r="AA78" i="5"/>
  <c r="Z78" i="5"/>
  <c r="Y78" i="5"/>
  <c r="X78" i="5"/>
  <c r="W78" i="5"/>
  <c r="V78" i="5"/>
  <c r="U78" i="5"/>
  <c r="T78" i="5"/>
  <c r="S78" i="5"/>
  <c r="R78" i="5"/>
  <c r="Q78" i="5"/>
  <c r="P78" i="5"/>
  <c r="O78" i="5"/>
  <c r="N78" i="5"/>
  <c r="M78" i="5"/>
  <c r="L78" i="5"/>
  <c r="K78" i="5"/>
  <c r="J78" i="5"/>
  <c r="I78" i="5"/>
  <c r="AB79" i="5"/>
  <c r="AA79" i="5"/>
  <c r="Z79" i="5"/>
  <c r="Y79" i="5"/>
  <c r="X79" i="5"/>
  <c r="W79" i="5"/>
  <c r="V79" i="5"/>
  <c r="U79" i="5"/>
  <c r="T79" i="5"/>
  <c r="S79" i="5"/>
  <c r="R79" i="5"/>
  <c r="Q79" i="5"/>
  <c r="P79" i="5"/>
  <c r="O79" i="5"/>
  <c r="N79" i="5"/>
  <c r="M79" i="5"/>
  <c r="L79" i="5"/>
  <c r="K79" i="5"/>
  <c r="J79" i="5"/>
  <c r="I79" i="5"/>
  <c r="AB80" i="5"/>
  <c r="AA80" i="5"/>
  <c r="Z80" i="5"/>
  <c r="Y80" i="5"/>
  <c r="X80" i="5"/>
  <c r="W80" i="5"/>
  <c r="V80" i="5"/>
  <c r="U80" i="5"/>
  <c r="T80" i="5"/>
  <c r="S80" i="5"/>
  <c r="R80" i="5"/>
  <c r="Q80" i="5"/>
  <c r="P80" i="5"/>
  <c r="O80" i="5"/>
  <c r="N80" i="5"/>
  <c r="M80" i="5"/>
  <c r="L80" i="5"/>
  <c r="K80" i="5"/>
  <c r="J80" i="5"/>
  <c r="I80" i="5"/>
  <c r="AB81" i="5"/>
  <c r="AA81" i="5"/>
  <c r="Z81" i="5"/>
  <c r="Y81" i="5"/>
  <c r="X81" i="5"/>
  <c r="W81" i="5"/>
  <c r="V81" i="5"/>
  <c r="U81" i="5"/>
  <c r="T81" i="5"/>
  <c r="S81" i="5"/>
  <c r="R81" i="5"/>
  <c r="Q81" i="5"/>
  <c r="P81" i="5"/>
  <c r="O81" i="5"/>
  <c r="N81" i="5"/>
  <c r="M81" i="5"/>
  <c r="L81" i="5"/>
  <c r="K81" i="5"/>
  <c r="J81" i="5"/>
  <c r="I81" i="5"/>
  <c r="AB82" i="5"/>
  <c r="AA82" i="5"/>
  <c r="Z82" i="5"/>
  <c r="Y82" i="5"/>
  <c r="X82" i="5"/>
  <c r="W82" i="5"/>
  <c r="V82" i="5"/>
  <c r="U82" i="5"/>
  <c r="T82" i="5"/>
  <c r="S82" i="5"/>
  <c r="R82" i="5"/>
  <c r="Q82" i="5"/>
  <c r="P82" i="5"/>
  <c r="O82" i="5"/>
  <c r="N82" i="5"/>
  <c r="M82" i="5"/>
  <c r="L82" i="5"/>
  <c r="K82" i="5"/>
  <c r="J82" i="5"/>
  <c r="I82" i="5"/>
  <c r="C127" i="5" a="1"/>
  <c r="D127" i="5" s="1"/>
  <c r="C128" i="5" a="1"/>
  <c r="D128" i="5" s="1"/>
  <c r="C129" i="5" a="1"/>
  <c r="D129" i="5" s="1"/>
  <c r="C130" i="5" a="1"/>
  <c r="D130" i="5" s="1"/>
  <c r="C131" i="5" a="1"/>
  <c r="D131" i="5" s="1"/>
  <c r="C132" i="5" a="1"/>
  <c r="D132" i="5" s="1"/>
  <c r="C133" i="5" a="1"/>
  <c r="D133" i="5" s="1"/>
  <c r="B83" i="5" a="1"/>
  <c r="C83" i="5" s="1"/>
  <c r="B84" i="5" a="1"/>
  <c r="C84" i="5" s="1"/>
  <c r="B85" i="5" a="1"/>
  <c r="C85" i="5" s="1"/>
  <c r="B86" i="5" a="1"/>
  <c r="C86" i="5" s="1"/>
  <c r="B87" i="5" a="1"/>
  <c r="C87" i="5" s="1"/>
  <c r="B88" i="5" a="1"/>
  <c r="C88" i="5" s="1"/>
  <c r="B89" i="5" a="1"/>
  <c r="C89" i="5" s="1"/>
  <c r="B30" i="5"/>
  <c r="L18" i="5"/>
  <c r="C68" i="4"/>
  <c r="C13" i="6"/>
  <c r="C30" i="6"/>
  <c r="C12" i="4"/>
  <c r="C15" i="4" s="1"/>
  <c r="I98" i="5" l="1"/>
  <c r="J98" i="5"/>
  <c r="K98" i="5"/>
  <c r="L98" i="5"/>
  <c r="M98" i="5"/>
  <c r="N98" i="5"/>
  <c r="O98" i="5"/>
  <c r="P98" i="5"/>
  <c r="Q98" i="5"/>
  <c r="R98" i="5"/>
  <c r="S98" i="5"/>
  <c r="T98" i="5"/>
  <c r="U98" i="5"/>
  <c r="V98" i="5"/>
  <c r="W98" i="5"/>
  <c r="X98" i="5"/>
  <c r="Y98" i="5"/>
  <c r="Z98" i="5"/>
  <c r="AA98" i="5"/>
  <c r="AB98" i="5"/>
  <c r="H98" i="5"/>
  <c r="I105" i="5"/>
  <c r="J105" i="5"/>
  <c r="K105" i="5"/>
  <c r="L105" i="5"/>
  <c r="M105" i="5"/>
  <c r="N105" i="5"/>
  <c r="O105" i="5"/>
  <c r="P105" i="5"/>
  <c r="Q105" i="5"/>
  <c r="R105" i="5"/>
  <c r="S105" i="5"/>
  <c r="T105" i="5"/>
  <c r="U105" i="5"/>
  <c r="V105" i="5"/>
  <c r="W105" i="5"/>
  <c r="X105" i="5"/>
  <c r="Y105" i="5"/>
  <c r="Z105" i="5"/>
  <c r="AA105" i="5"/>
  <c r="AB105" i="5"/>
  <c r="H105" i="5"/>
  <c r="I112" i="5"/>
  <c r="J112" i="5"/>
  <c r="K112" i="5"/>
  <c r="L112" i="5"/>
  <c r="M112" i="5"/>
  <c r="N112" i="5"/>
  <c r="O112" i="5"/>
  <c r="P112" i="5"/>
  <c r="Q112" i="5"/>
  <c r="R112" i="5"/>
  <c r="S112" i="5"/>
  <c r="T112" i="5"/>
  <c r="U112" i="5"/>
  <c r="V112" i="5"/>
  <c r="W112" i="5"/>
  <c r="X112" i="5"/>
  <c r="Y112" i="5"/>
  <c r="Z112" i="5"/>
  <c r="AA112" i="5"/>
  <c r="AB112" i="5"/>
  <c r="H112" i="5"/>
  <c r="I119" i="5"/>
  <c r="J119" i="5"/>
  <c r="K119" i="5"/>
  <c r="L119" i="5"/>
  <c r="M119" i="5"/>
  <c r="N119" i="5"/>
  <c r="O119" i="5"/>
  <c r="P119" i="5"/>
  <c r="Q119" i="5"/>
  <c r="R119" i="5"/>
  <c r="S119" i="5"/>
  <c r="T119" i="5"/>
  <c r="U119" i="5"/>
  <c r="V119" i="5"/>
  <c r="W119" i="5"/>
  <c r="X119" i="5"/>
  <c r="Y119" i="5"/>
  <c r="Z119" i="5"/>
  <c r="AA119" i="5"/>
  <c r="AB119" i="5"/>
  <c r="H119" i="5"/>
  <c r="F97" i="5"/>
  <c r="R12" i="5" s="1" a="1"/>
  <c r="F104" i="5"/>
  <c r="R13" i="5" s="1" a="1"/>
  <c r="F111" i="5"/>
  <c r="R14" i="5" s="1" a="1"/>
  <c r="F46" i="5"/>
  <c r="H24" i="5" s="1" a="1"/>
  <c r="E46" i="5"/>
  <c r="H12" i="5" s="1" a="1"/>
  <c r="E53" i="5"/>
  <c r="H13" i="5" s="1" a="1"/>
  <c r="F53" i="5"/>
  <c r="H25" i="5" s="1" a="1"/>
  <c r="E60" i="5"/>
  <c r="H14" i="5" s="1" a="1"/>
  <c r="F60" i="5"/>
  <c r="H26" i="5" s="1" a="1"/>
  <c r="E67" i="5"/>
  <c r="H15" i="5" s="1" a="1"/>
  <c r="F67" i="5"/>
  <c r="H27" i="5" s="1" a="1"/>
  <c r="AB47" i="5"/>
  <c r="AA47" i="5"/>
  <c r="Z47" i="5"/>
  <c r="Y47" i="5"/>
  <c r="X47" i="5"/>
  <c r="W47" i="5"/>
  <c r="V47" i="5"/>
  <c r="U47" i="5"/>
  <c r="T47" i="5"/>
  <c r="S47" i="5"/>
  <c r="R47" i="5"/>
  <c r="Q47" i="5"/>
  <c r="P47" i="5"/>
  <c r="O47" i="5"/>
  <c r="N47" i="5"/>
  <c r="M47" i="5"/>
  <c r="L47" i="5"/>
  <c r="K47" i="5"/>
  <c r="J47" i="5"/>
  <c r="I47" i="5"/>
  <c r="I54" i="5"/>
  <c r="J54" i="5"/>
  <c r="K54" i="5"/>
  <c r="L54" i="5"/>
  <c r="M54" i="5"/>
  <c r="N54" i="5"/>
  <c r="O54" i="5"/>
  <c r="P54" i="5"/>
  <c r="Q54" i="5"/>
  <c r="R54" i="5"/>
  <c r="S54" i="5"/>
  <c r="T54" i="5"/>
  <c r="U54" i="5"/>
  <c r="V54" i="5"/>
  <c r="W54" i="5"/>
  <c r="X54" i="5"/>
  <c r="Y54" i="5"/>
  <c r="Z54" i="5"/>
  <c r="AA54" i="5"/>
  <c r="AB54" i="5"/>
  <c r="I61" i="5"/>
  <c r="J61" i="5"/>
  <c r="K61" i="5"/>
  <c r="L61" i="5"/>
  <c r="M61" i="5"/>
  <c r="N61" i="5"/>
  <c r="O61" i="5"/>
  <c r="P61" i="5"/>
  <c r="Q61" i="5"/>
  <c r="R61" i="5"/>
  <c r="S61" i="5"/>
  <c r="T61" i="5"/>
  <c r="U61" i="5"/>
  <c r="V61" i="5"/>
  <c r="W61" i="5"/>
  <c r="X61" i="5"/>
  <c r="Y61" i="5"/>
  <c r="Z61" i="5"/>
  <c r="AA61" i="5"/>
  <c r="AB61" i="5"/>
  <c r="I68" i="5"/>
  <c r="J68" i="5"/>
  <c r="K68" i="5"/>
  <c r="L68" i="5"/>
  <c r="M68" i="5"/>
  <c r="N68" i="5"/>
  <c r="O68" i="5"/>
  <c r="P68" i="5"/>
  <c r="Q68" i="5"/>
  <c r="R68" i="5"/>
  <c r="S68" i="5"/>
  <c r="T68" i="5"/>
  <c r="U68" i="5"/>
  <c r="V68" i="5"/>
  <c r="W68" i="5"/>
  <c r="X68" i="5"/>
  <c r="Y68" i="5"/>
  <c r="Z68" i="5"/>
  <c r="AA68" i="5"/>
  <c r="AB68" i="5"/>
  <c r="I75" i="5"/>
  <c r="J75" i="5"/>
  <c r="K75" i="5"/>
  <c r="L75" i="5"/>
  <c r="M75" i="5"/>
  <c r="N75" i="5"/>
  <c r="O75" i="5"/>
  <c r="P75" i="5"/>
  <c r="Q75" i="5"/>
  <c r="R75" i="5"/>
  <c r="S75" i="5"/>
  <c r="T75" i="5"/>
  <c r="U75" i="5"/>
  <c r="V75" i="5"/>
  <c r="W75" i="5"/>
  <c r="X75" i="5"/>
  <c r="Y75" i="5"/>
  <c r="Z75" i="5"/>
  <c r="AA75" i="5"/>
  <c r="AB75" i="5"/>
  <c r="F76" i="5"/>
  <c r="C29" i="5" s="1" a="1"/>
  <c r="E76" i="5"/>
  <c r="C17" i="5" s="1" a="1"/>
  <c r="F77" i="5"/>
  <c r="D29" i="5" s="1" a="1"/>
  <c r="E77" i="5"/>
  <c r="D17" i="5" s="1" a="1"/>
  <c r="F78" i="5"/>
  <c r="E29" i="5" s="1" a="1"/>
  <c r="E78" i="5"/>
  <c r="E17" i="5" s="1" a="1"/>
  <c r="F79" i="5"/>
  <c r="F29" i="5" s="1" a="1"/>
  <c r="E79" i="5"/>
  <c r="F17" i="5" s="1" a="1"/>
  <c r="F80" i="5"/>
  <c r="G29" i="5" s="1" a="1"/>
  <c r="E80" i="5"/>
  <c r="G17" i="5" s="1" a="1"/>
  <c r="F81" i="5"/>
  <c r="H29" i="5" s="1" a="1"/>
  <c r="E81" i="5"/>
  <c r="H17" i="5" s="1" a="1"/>
  <c r="F82" i="5"/>
  <c r="I29" i="5" s="1" a="1"/>
  <c r="E82" i="5"/>
  <c r="I17" i="5" s="1" a="1"/>
  <c r="AB127" i="5"/>
  <c r="AA127" i="5"/>
  <c r="Z127" i="5"/>
  <c r="Y127" i="5"/>
  <c r="X127" i="5"/>
  <c r="W127" i="5"/>
  <c r="V127" i="5"/>
  <c r="U127" i="5"/>
  <c r="T127" i="5"/>
  <c r="S127" i="5"/>
  <c r="R127" i="5"/>
  <c r="Q127" i="5"/>
  <c r="P127" i="5"/>
  <c r="O127" i="5"/>
  <c r="N127" i="5"/>
  <c r="M127" i="5"/>
  <c r="L127" i="5"/>
  <c r="K127" i="5"/>
  <c r="J127" i="5"/>
  <c r="I127" i="5"/>
  <c r="F127" i="5" s="1"/>
  <c r="M17" i="5" s="1" a="1"/>
  <c r="AB128" i="5"/>
  <c r="AA128" i="5"/>
  <c r="Z128" i="5"/>
  <c r="Y128" i="5"/>
  <c r="X128" i="5"/>
  <c r="W128" i="5"/>
  <c r="V128" i="5"/>
  <c r="U128" i="5"/>
  <c r="T128" i="5"/>
  <c r="S128" i="5"/>
  <c r="R128" i="5"/>
  <c r="Q128" i="5"/>
  <c r="P128" i="5"/>
  <c r="O128" i="5"/>
  <c r="N128" i="5"/>
  <c r="M128" i="5"/>
  <c r="L128" i="5"/>
  <c r="K128" i="5"/>
  <c r="J128" i="5"/>
  <c r="I128" i="5"/>
  <c r="F128" i="5" s="1"/>
  <c r="N17" i="5" s="1" a="1"/>
  <c r="AB129" i="5"/>
  <c r="AA129" i="5"/>
  <c r="Z129" i="5"/>
  <c r="Y129" i="5"/>
  <c r="X129" i="5"/>
  <c r="W129" i="5"/>
  <c r="V129" i="5"/>
  <c r="U129" i="5"/>
  <c r="T129" i="5"/>
  <c r="S129" i="5"/>
  <c r="R129" i="5"/>
  <c r="Q129" i="5"/>
  <c r="P129" i="5"/>
  <c r="O129" i="5"/>
  <c r="N129" i="5"/>
  <c r="M129" i="5"/>
  <c r="L129" i="5"/>
  <c r="K129" i="5"/>
  <c r="J129" i="5"/>
  <c r="I129" i="5"/>
  <c r="F129" i="5" s="1"/>
  <c r="O17" i="5" s="1" a="1"/>
  <c r="AB130" i="5"/>
  <c r="AA130" i="5"/>
  <c r="Z130" i="5"/>
  <c r="Y130" i="5"/>
  <c r="X130" i="5"/>
  <c r="W130" i="5"/>
  <c r="V130" i="5"/>
  <c r="U130" i="5"/>
  <c r="T130" i="5"/>
  <c r="S130" i="5"/>
  <c r="R130" i="5"/>
  <c r="Q130" i="5"/>
  <c r="P130" i="5"/>
  <c r="O130" i="5"/>
  <c r="N130" i="5"/>
  <c r="M130" i="5"/>
  <c r="L130" i="5"/>
  <c r="K130" i="5"/>
  <c r="J130" i="5"/>
  <c r="I130" i="5"/>
  <c r="F130" i="5" s="1"/>
  <c r="P17" i="5" s="1" a="1"/>
  <c r="AB131" i="5"/>
  <c r="AA131" i="5"/>
  <c r="Z131" i="5"/>
  <c r="Y131" i="5"/>
  <c r="X131" i="5"/>
  <c r="W131" i="5"/>
  <c r="V131" i="5"/>
  <c r="U131" i="5"/>
  <c r="T131" i="5"/>
  <c r="S131" i="5"/>
  <c r="R131" i="5"/>
  <c r="Q131" i="5"/>
  <c r="P131" i="5"/>
  <c r="O131" i="5"/>
  <c r="N131" i="5"/>
  <c r="M131" i="5"/>
  <c r="L131" i="5"/>
  <c r="K131" i="5"/>
  <c r="J131" i="5"/>
  <c r="I131" i="5"/>
  <c r="F131" i="5" s="1"/>
  <c r="Q17" i="5" s="1" a="1"/>
  <c r="AB132" i="5"/>
  <c r="AA132" i="5"/>
  <c r="Z132" i="5"/>
  <c r="Y132" i="5"/>
  <c r="X132" i="5"/>
  <c r="W132" i="5"/>
  <c r="V132" i="5"/>
  <c r="U132" i="5"/>
  <c r="T132" i="5"/>
  <c r="S132" i="5"/>
  <c r="R132" i="5"/>
  <c r="Q132" i="5"/>
  <c r="P132" i="5"/>
  <c r="O132" i="5"/>
  <c r="N132" i="5"/>
  <c r="M132" i="5"/>
  <c r="L132" i="5"/>
  <c r="K132" i="5"/>
  <c r="J132" i="5"/>
  <c r="I132" i="5"/>
  <c r="F132" i="5" s="1"/>
  <c r="R17" i="5" s="1" a="1"/>
  <c r="AB133" i="5"/>
  <c r="AA133" i="5"/>
  <c r="Z133" i="5"/>
  <c r="Y133" i="5"/>
  <c r="X133" i="5"/>
  <c r="W133" i="5"/>
  <c r="V133" i="5"/>
  <c r="U133" i="5"/>
  <c r="T133" i="5"/>
  <c r="S133" i="5"/>
  <c r="R133" i="5"/>
  <c r="Q133" i="5"/>
  <c r="P133" i="5"/>
  <c r="O133" i="5"/>
  <c r="N133" i="5"/>
  <c r="M133" i="5"/>
  <c r="L133" i="5"/>
  <c r="K133" i="5"/>
  <c r="J133" i="5"/>
  <c r="I133" i="5"/>
  <c r="F133" i="5" s="1"/>
  <c r="S17" i="5" s="1" a="1"/>
  <c r="AB83" i="5"/>
  <c r="AA83" i="5"/>
  <c r="Z83" i="5"/>
  <c r="Y83" i="5"/>
  <c r="X83" i="5"/>
  <c r="W83" i="5"/>
  <c r="V83" i="5"/>
  <c r="U83" i="5"/>
  <c r="T83" i="5"/>
  <c r="S83" i="5"/>
  <c r="R83" i="5"/>
  <c r="Q83" i="5"/>
  <c r="P83" i="5"/>
  <c r="O83" i="5"/>
  <c r="N83" i="5"/>
  <c r="M83" i="5"/>
  <c r="L83" i="5"/>
  <c r="K83" i="5"/>
  <c r="J83" i="5"/>
  <c r="I83" i="5"/>
  <c r="AB84" i="5"/>
  <c r="AA84" i="5"/>
  <c r="Z84" i="5"/>
  <c r="Y84" i="5"/>
  <c r="X84" i="5"/>
  <c r="W84" i="5"/>
  <c r="V84" i="5"/>
  <c r="U84" i="5"/>
  <c r="T84" i="5"/>
  <c r="S84" i="5"/>
  <c r="R84" i="5"/>
  <c r="Q84" i="5"/>
  <c r="P84" i="5"/>
  <c r="O84" i="5"/>
  <c r="N84" i="5"/>
  <c r="M84" i="5"/>
  <c r="L84" i="5"/>
  <c r="K84" i="5"/>
  <c r="J84" i="5"/>
  <c r="I84" i="5"/>
  <c r="AB85" i="5"/>
  <c r="AA85" i="5"/>
  <c r="Z85" i="5"/>
  <c r="Y85" i="5"/>
  <c r="X85" i="5"/>
  <c r="W85" i="5"/>
  <c r="V85" i="5"/>
  <c r="U85" i="5"/>
  <c r="T85" i="5"/>
  <c r="S85" i="5"/>
  <c r="R85" i="5"/>
  <c r="Q85" i="5"/>
  <c r="P85" i="5"/>
  <c r="O85" i="5"/>
  <c r="N85" i="5"/>
  <c r="M85" i="5"/>
  <c r="L85" i="5"/>
  <c r="K85" i="5"/>
  <c r="J85" i="5"/>
  <c r="I85" i="5"/>
  <c r="AB86" i="5"/>
  <c r="AA86" i="5"/>
  <c r="Z86" i="5"/>
  <c r="Y86" i="5"/>
  <c r="X86" i="5"/>
  <c r="W86" i="5"/>
  <c r="V86" i="5"/>
  <c r="U86" i="5"/>
  <c r="T86" i="5"/>
  <c r="S86" i="5"/>
  <c r="R86" i="5"/>
  <c r="Q86" i="5"/>
  <c r="P86" i="5"/>
  <c r="O86" i="5"/>
  <c r="N86" i="5"/>
  <c r="M86" i="5"/>
  <c r="L86" i="5"/>
  <c r="K86" i="5"/>
  <c r="J86" i="5"/>
  <c r="I86" i="5"/>
  <c r="AB87" i="5"/>
  <c r="AA87" i="5"/>
  <c r="Z87" i="5"/>
  <c r="Y87" i="5"/>
  <c r="X87" i="5"/>
  <c r="W87" i="5"/>
  <c r="V87" i="5"/>
  <c r="U87" i="5"/>
  <c r="T87" i="5"/>
  <c r="S87" i="5"/>
  <c r="R87" i="5"/>
  <c r="Q87" i="5"/>
  <c r="P87" i="5"/>
  <c r="O87" i="5"/>
  <c r="N87" i="5"/>
  <c r="M87" i="5"/>
  <c r="L87" i="5"/>
  <c r="K87" i="5"/>
  <c r="J87" i="5"/>
  <c r="I87" i="5"/>
  <c r="AB88" i="5"/>
  <c r="AA88" i="5"/>
  <c r="Z88" i="5"/>
  <c r="Y88" i="5"/>
  <c r="X88" i="5"/>
  <c r="W88" i="5"/>
  <c r="V88" i="5"/>
  <c r="U88" i="5"/>
  <c r="T88" i="5"/>
  <c r="S88" i="5"/>
  <c r="R88" i="5"/>
  <c r="Q88" i="5"/>
  <c r="P88" i="5"/>
  <c r="O88" i="5"/>
  <c r="N88" i="5"/>
  <c r="M88" i="5"/>
  <c r="L88" i="5"/>
  <c r="K88" i="5"/>
  <c r="J88" i="5"/>
  <c r="I88" i="5"/>
  <c r="AB89" i="5"/>
  <c r="AA89" i="5"/>
  <c r="Z89" i="5"/>
  <c r="Y89" i="5"/>
  <c r="X89" i="5"/>
  <c r="W89" i="5"/>
  <c r="V89" i="5"/>
  <c r="U89" i="5"/>
  <c r="T89" i="5"/>
  <c r="S89" i="5"/>
  <c r="R89" i="5"/>
  <c r="Q89" i="5"/>
  <c r="P89" i="5"/>
  <c r="O89" i="5"/>
  <c r="N89" i="5"/>
  <c r="M89" i="5"/>
  <c r="L89" i="5"/>
  <c r="K89" i="5"/>
  <c r="J89" i="5"/>
  <c r="I89" i="5"/>
  <c r="C134" i="5" a="1"/>
  <c r="D134" i="5" s="1"/>
  <c r="C135" i="5" a="1"/>
  <c r="D135" i="5" s="1"/>
  <c r="C136" i="5" a="1"/>
  <c r="D136" i="5" s="1"/>
  <c r="C137" i="5" a="1"/>
  <c r="D137" i="5" s="1"/>
  <c r="C138" i="5" a="1"/>
  <c r="D138" i="5" s="1"/>
  <c r="C139" i="5" a="1"/>
  <c r="D139" i="5" s="1"/>
  <c r="C140" i="5" a="1"/>
  <c r="D140" i="5" s="1"/>
  <c r="C17" i="4"/>
  <c r="C18" i="4"/>
  <c r="C20" i="6" s="1"/>
  <c r="C19" i="6"/>
  <c r="F98" i="5" l="1"/>
  <c r="S12" i="5" s="1" a="1"/>
  <c r="F105" i="5"/>
  <c r="S13" i="5" s="1" a="1"/>
  <c r="F112" i="5"/>
  <c r="S14" i="5" s="1" a="1"/>
  <c r="F119" i="5"/>
  <c r="S15" i="5" s="1" a="1"/>
  <c r="F47" i="5"/>
  <c r="I24" i="5" s="1" a="1"/>
  <c r="E47" i="5"/>
  <c r="I12" i="5" s="1" a="1"/>
  <c r="E54" i="5"/>
  <c r="I13" i="5" s="1" a="1"/>
  <c r="F54" i="5"/>
  <c r="I25" i="5" s="1" a="1"/>
  <c r="E61" i="5"/>
  <c r="I14" i="5" s="1" a="1"/>
  <c r="F61" i="5"/>
  <c r="I26" i="5" s="1" a="1"/>
  <c r="E68" i="5"/>
  <c r="I15" i="5" s="1" a="1"/>
  <c r="F68" i="5"/>
  <c r="I27" i="5" s="1" a="1"/>
  <c r="E75" i="5"/>
  <c r="I16" i="5" s="1" a="1"/>
  <c r="F75" i="5"/>
  <c r="I28" i="5" s="1" a="1"/>
  <c r="F83" i="5"/>
  <c r="C30" i="5" s="1" a="1"/>
  <c r="E83" i="5"/>
  <c r="C18" i="5" s="1" a="1"/>
  <c r="F84" i="5"/>
  <c r="D30" i="5" s="1" a="1"/>
  <c r="E84" i="5"/>
  <c r="D18" i="5" s="1" a="1"/>
  <c r="F85" i="5"/>
  <c r="E30" i="5" s="1" a="1"/>
  <c r="E85" i="5"/>
  <c r="E18" i="5" s="1" a="1"/>
  <c r="F86" i="5"/>
  <c r="F30" i="5" s="1" a="1"/>
  <c r="E86" i="5"/>
  <c r="F18" i="5" s="1" a="1"/>
  <c r="F87" i="5"/>
  <c r="G30" i="5" s="1" a="1"/>
  <c r="E87" i="5"/>
  <c r="G18" i="5" s="1" a="1"/>
  <c r="F88" i="5"/>
  <c r="H30" i="5" s="1" a="1"/>
  <c r="E88" i="5"/>
  <c r="H18" i="5" s="1" a="1"/>
  <c r="F89" i="5"/>
  <c r="I30" i="5" s="1" a="1"/>
  <c r="E89" i="5"/>
  <c r="I18" i="5" s="1" a="1"/>
  <c r="AB134" i="5"/>
  <c r="AA134" i="5"/>
  <c r="Z134" i="5"/>
  <c r="Y134" i="5"/>
  <c r="X134" i="5"/>
  <c r="W134" i="5"/>
  <c r="V134" i="5"/>
  <c r="U134" i="5"/>
  <c r="T134" i="5"/>
  <c r="S134" i="5"/>
  <c r="R134" i="5"/>
  <c r="Q134" i="5"/>
  <c r="P134" i="5"/>
  <c r="O134" i="5"/>
  <c r="N134" i="5"/>
  <c r="M134" i="5"/>
  <c r="L134" i="5"/>
  <c r="K134" i="5"/>
  <c r="J134" i="5"/>
  <c r="I134" i="5"/>
  <c r="F134" i="5" s="1"/>
  <c r="M18" i="5" s="1" a="1"/>
  <c r="AB135" i="5"/>
  <c r="AA135" i="5"/>
  <c r="Z135" i="5"/>
  <c r="Y135" i="5"/>
  <c r="X135" i="5"/>
  <c r="W135" i="5"/>
  <c r="V135" i="5"/>
  <c r="U135" i="5"/>
  <c r="T135" i="5"/>
  <c r="S135" i="5"/>
  <c r="R135" i="5"/>
  <c r="Q135" i="5"/>
  <c r="P135" i="5"/>
  <c r="O135" i="5"/>
  <c r="N135" i="5"/>
  <c r="M135" i="5"/>
  <c r="L135" i="5"/>
  <c r="K135" i="5"/>
  <c r="J135" i="5"/>
  <c r="I135" i="5"/>
  <c r="F135" i="5" s="1"/>
  <c r="N18" i="5" s="1" a="1"/>
  <c r="AB136" i="5"/>
  <c r="AA136" i="5"/>
  <c r="Z136" i="5"/>
  <c r="Y136" i="5"/>
  <c r="X136" i="5"/>
  <c r="W136" i="5"/>
  <c r="V136" i="5"/>
  <c r="U136" i="5"/>
  <c r="T136" i="5"/>
  <c r="S136" i="5"/>
  <c r="R136" i="5"/>
  <c r="Q136" i="5"/>
  <c r="P136" i="5"/>
  <c r="O136" i="5"/>
  <c r="N136" i="5"/>
  <c r="M136" i="5"/>
  <c r="L136" i="5"/>
  <c r="K136" i="5"/>
  <c r="J136" i="5"/>
  <c r="I136" i="5"/>
  <c r="F136" i="5" s="1"/>
  <c r="O18" i="5" s="1" a="1"/>
  <c r="AB137" i="5"/>
  <c r="AA137" i="5"/>
  <c r="Z137" i="5"/>
  <c r="Y137" i="5"/>
  <c r="X137" i="5"/>
  <c r="W137" i="5"/>
  <c r="V137" i="5"/>
  <c r="U137" i="5"/>
  <c r="T137" i="5"/>
  <c r="S137" i="5"/>
  <c r="R137" i="5"/>
  <c r="Q137" i="5"/>
  <c r="P137" i="5"/>
  <c r="O137" i="5"/>
  <c r="N137" i="5"/>
  <c r="M137" i="5"/>
  <c r="L137" i="5"/>
  <c r="K137" i="5"/>
  <c r="J137" i="5"/>
  <c r="I137" i="5"/>
  <c r="F137" i="5" s="1"/>
  <c r="P18" i="5" s="1" a="1"/>
  <c r="AB138" i="5"/>
  <c r="AA138" i="5"/>
  <c r="Z138" i="5"/>
  <c r="Y138" i="5"/>
  <c r="X138" i="5"/>
  <c r="W138" i="5"/>
  <c r="V138" i="5"/>
  <c r="U138" i="5"/>
  <c r="T138" i="5"/>
  <c r="S138" i="5"/>
  <c r="R138" i="5"/>
  <c r="Q138" i="5"/>
  <c r="P138" i="5"/>
  <c r="O138" i="5"/>
  <c r="N138" i="5"/>
  <c r="M138" i="5"/>
  <c r="L138" i="5"/>
  <c r="K138" i="5"/>
  <c r="J138" i="5"/>
  <c r="I138" i="5"/>
  <c r="F138" i="5" s="1"/>
  <c r="Q18" i="5" s="1" a="1"/>
  <c r="AB139" i="5"/>
  <c r="AA139" i="5"/>
  <c r="Z139" i="5"/>
  <c r="Y139" i="5"/>
  <c r="X139" i="5"/>
  <c r="W139" i="5"/>
  <c r="V139" i="5"/>
  <c r="U139" i="5"/>
  <c r="T139" i="5"/>
  <c r="S139" i="5"/>
  <c r="R139" i="5"/>
  <c r="Q139" i="5"/>
  <c r="P139" i="5"/>
  <c r="O139" i="5"/>
  <c r="N139" i="5"/>
  <c r="M139" i="5"/>
  <c r="L139" i="5"/>
  <c r="K139" i="5"/>
  <c r="J139" i="5"/>
  <c r="I139" i="5"/>
  <c r="F139" i="5" s="1"/>
  <c r="R18" i="5" s="1" a="1"/>
  <c r="AB140" i="5"/>
  <c r="AA140" i="5"/>
  <c r="Z140" i="5"/>
  <c r="Y140" i="5"/>
  <c r="X140" i="5"/>
  <c r="W140" i="5"/>
  <c r="V140" i="5"/>
  <c r="U140" i="5"/>
  <c r="T140" i="5"/>
  <c r="S140" i="5"/>
  <c r="R140" i="5"/>
  <c r="Q140" i="5"/>
  <c r="P140" i="5"/>
  <c r="O140" i="5"/>
  <c r="N140" i="5"/>
  <c r="M140" i="5"/>
  <c r="L140" i="5"/>
  <c r="K140" i="5"/>
  <c r="J140" i="5"/>
  <c r="I140" i="5"/>
  <c r="F140" i="5" s="1"/>
  <c r="S18" i="5" s="1" a="1"/>
  <c r="C19" i="4"/>
  <c r="C20" i="4"/>
  <c r="C22" i="4"/>
  <c r="C26" i="6" s="1"/>
  <c r="C26" i="4"/>
  <c r="C40" i="4"/>
  <c r="C62" i="4"/>
  <c r="C25" i="6" l="1"/>
  <c r="C42" i="4"/>
  <c r="C21" i="4"/>
  <c r="C21" i="6"/>
  <c r="C50" i="4" l="1"/>
  <c r="C48" i="4"/>
  <c r="C43" i="4"/>
  <c r="C44" i="4"/>
  <c r="C45" i="4" l="1"/>
  <c r="C47" i="4" l="1"/>
  <c r="C46" i="4"/>
  <c r="D39" i="4" s="1"/>
  <c r="C49" i="4" l="1"/>
  <c r="C59" i="4"/>
  <c r="D41" i="4"/>
  <c r="D42" i="4" l="1"/>
  <c r="C53" i="4"/>
  <c r="C97" i="4" s="1"/>
  <c r="D48" i="4"/>
  <c r="D50" i="4" s="1"/>
  <c r="D43" i="4"/>
  <c r="D44" i="4" s="1"/>
  <c r="D45" i="4" s="1"/>
  <c r="D60" i="4"/>
  <c r="C31" i="4" l="1"/>
  <c r="C55" i="4"/>
  <c r="C54" i="4"/>
  <c r="C61" i="4" s="1"/>
  <c r="C63" i="4" s="1"/>
  <c r="F43" i="6" a="1"/>
  <c r="G43" i="6" s="1"/>
  <c r="D47" i="4"/>
  <c r="D46" i="4"/>
  <c r="C32" i="4" l="1"/>
  <c r="C23" i="6"/>
  <c r="C64" i="4"/>
  <c r="D49" i="4"/>
  <c r="H43" i="6" s="1" a="1"/>
  <c r="C43" i="6" a="1"/>
  <c r="D59" i="4"/>
  <c r="J43" i="6" a="1"/>
  <c r="E39" i="4"/>
  <c r="C35" i="4" l="1"/>
  <c r="D32" i="4"/>
  <c r="D30" i="4"/>
  <c r="C27" i="4"/>
  <c r="D31" i="4"/>
  <c r="E41" i="4"/>
  <c r="E42" i="4"/>
  <c r="C28" i="4" l="1"/>
  <c r="D27" i="4"/>
  <c r="D35" i="4"/>
  <c r="C22" i="6"/>
  <c r="E60" i="4"/>
  <c r="E48" i="4"/>
  <c r="E50" i="4" s="1"/>
  <c r="E43" i="4"/>
  <c r="E44" i="4" s="1"/>
  <c r="E45" i="4" s="1"/>
  <c r="D53" i="4"/>
  <c r="C24" i="6" l="1"/>
  <c r="C34" i="4"/>
  <c r="D28" i="4"/>
  <c r="D26" i="4"/>
  <c r="F44" i="6" a="1"/>
  <c r="G44" i="6" s="1"/>
  <c r="D54" i="4"/>
  <c r="D61" i="4" s="1"/>
  <c r="D63" i="4" s="1"/>
  <c r="D55" i="4"/>
  <c r="E47" i="4"/>
  <c r="E46" i="4"/>
  <c r="K43" i="6" l="1" a="1"/>
  <c r="D64" i="4"/>
  <c r="E49" i="4"/>
  <c r="H44" i="6" s="1" a="1"/>
  <c r="C44" i="6" a="1"/>
  <c r="E59" i="4"/>
  <c r="J44" i="6" a="1"/>
  <c r="F39" i="4"/>
  <c r="F41" i="4" l="1"/>
  <c r="F60" i="4" l="1"/>
  <c r="F42" i="4"/>
  <c r="F43" i="4" l="1"/>
  <c r="F44" i="4" s="1"/>
  <c r="F45" i="4" s="1"/>
  <c r="F48" i="4"/>
  <c r="E53" i="4"/>
  <c r="F47" i="4" l="1"/>
  <c r="F46" i="4"/>
  <c r="F45" i="6" a="1"/>
  <c r="G45" i="6" s="1"/>
  <c r="F50" i="4"/>
  <c r="E54" i="4"/>
  <c r="E61" i="4" s="1"/>
  <c r="E63" i="4" s="1"/>
  <c r="E55" i="4"/>
  <c r="F49" i="4" l="1"/>
  <c r="H45" i="6" s="1" a="1"/>
  <c r="C45" i="6" a="1"/>
  <c r="F59" i="4"/>
  <c r="G39" i="4"/>
  <c r="J45" i="6" a="1"/>
  <c r="E64" i="4"/>
  <c r="K44" i="6" a="1"/>
  <c r="G41" i="4" l="1"/>
  <c r="G42" i="4" l="1"/>
  <c r="F53" i="4"/>
  <c r="G48" i="4"/>
  <c r="G43" i="4"/>
  <c r="G44" i="4" s="1"/>
  <c r="G45" i="4" s="1"/>
  <c r="G46" i="4" s="1"/>
  <c r="G47" i="4"/>
  <c r="G60" i="4"/>
  <c r="F54" i="4" l="1"/>
  <c r="F61" i="4" s="1"/>
  <c r="F63" i="4" s="1"/>
  <c r="F55" i="4"/>
  <c r="F46" i="6" a="1"/>
  <c r="G46" i="6" s="1"/>
  <c r="G50" i="4"/>
  <c r="H39" i="4"/>
  <c r="J46" i="6" a="1"/>
  <c r="G59" i="4"/>
  <c r="C46" i="6" a="1"/>
  <c r="G49" i="4"/>
  <c r="H46" i="6" s="1" a="1"/>
  <c r="F64" i="4" l="1"/>
  <c r="K45" i="6" a="1"/>
  <c r="H41" i="4"/>
  <c r="H42" i="4" s="1"/>
  <c r="H43" i="4" l="1"/>
  <c r="H44" i="4" s="1"/>
  <c r="H45" i="4" s="1"/>
  <c r="H46" i="4" s="1"/>
  <c r="H48" i="4"/>
  <c r="G53" i="4"/>
  <c r="H47" i="4"/>
  <c r="H60" i="4"/>
  <c r="I39" i="4" l="1"/>
  <c r="J47" i="6" a="1"/>
  <c r="F47" i="6" a="1"/>
  <c r="G47" i="6" s="1"/>
  <c r="H50" i="4"/>
  <c r="G54" i="4"/>
  <c r="G61" i="4" s="1"/>
  <c r="G63" i="4" s="1"/>
  <c r="G55" i="4"/>
  <c r="H59" i="4"/>
  <c r="C47" i="6" a="1"/>
  <c r="H49" i="4"/>
  <c r="H47" i="6" s="1" a="1"/>
  <c r="I41" i="4" l="1"/>
  <c r="I42" i="4" s="1"/>
  <c r="G64" i="4"/>
  <c r="K46" i="6" a="1"/>
  <c r="I43" i="4" l="1"/>
  <c r="I44" i="4" s="1"/>
  <c r="I45" i="4" s="1"/>
  <c r="I46" i="4" s="1"/>
  <c r="I48" i="4"/>
  <c r="H53" i="4"/>
  <c r="I47" i="4"/>
  <c r="I60" i="4"/>
  <c r="J39" i="4" l="1"/>
  <c r="J48" i="6" a="1"/>
  <c r="F48" i="6" a="1"/>
  <c r="G48" i="6" s="1"/>
  <c r="I50" i="4"/>
  <c r="H54" i="4"/>
  <c r="H61" i="4" s="1"/>
  <c r="H63" i="4" s="1"/>
  <c r="H55" i="4"/>
  <c r="I59" i="4"/>
  <c r="C48" i="6" a="1"/>
  <c r="I49" i="4"/>
  <c r="H48" i="6" s="1" a="1"/>
  <c r="J41" i="4" l="1"/>
  <c r="J42" i="4" s="1"/>
  <c r="H64" i="4"/>
  <c r="K47" i="6" a="1"/>
  <c r="J43" i="4" l="1"/>
  <c r="J44" i="4" s="1"/>
  <c r="J45" i="4" s="1"/>
  <c r="J46" i="4" s="1"/>
  <c r="J48" i="4"/>
  <c r="I53" i="4"/>
  <c r="J47" i="4"/>
  <c r="J60" i="4"/>
  <c r="K39" i="4" l="1"/>
  <c r="J49" i="6" a="1"/>
  <c r="F49" i="6" a="1"/>
  <c r="G49" i="6" s="1"/>
  <c r="J50" i="4"/>
  <c r="I54" i="4"/>
  <c r="I61" i="4" s="1"/>
  <c r="I63" i="4" s="1"/>
  <c r="I55" i="4"/>
  <c r="J59" i="4"/>
  <c r="C49" i="6" a="1"/>
  <c r="J49" i="4"/>
  <c r="H49" i="6" s="1" a="1"/>
  <c r="K41" i="4" l="1"/>
  <c r="K42" i="4" s="1"/>
  <c r="I64" i="4"/>
  <c r="K48" i="6" a="1"/>
  <c r="K43" i="4" l="1"/>
  <c r="K44" i="4" s="1"/>
  <c r="K45" i="4" s="1"/>
  <c r="K46" i="4" s="1"/>
  <c r="K48" i="4"/>
  <c r="J53" i="4"/>
  <c r="K47" i="4"/>
  <c r="K60" i="4"/>
  <c r="L39" i="4" l="1"/>
  <c r="J50" i="6" a="1"/>
  <c r="F50" i="6" a="1"/>
  <c r="G50" i="6" s="1"/>
  <c r="K50" i="4"/>
  <c r="J54" i="4"/>
  <c r="J61" i="4" s="1"/>
  <c r="J63" i="4" s="1"/>
  <c r="J55" i="4"/>
  <c r="K59" i="4"/>
  <c r="C50" i="6" a="1"/>
  <c r="K49" i="4"/>
  <c r="H50" i="6" s="1" a="1"/>
  <c r="L41" i="4" l="1"/>
  <c r="L42" i="4" s="1"/>
  <c r="J64" i="4"/>
  <c r="K49" i="6" a="1"/>
  <c r="L43" i="4" l="1"/>
  <c r="L44" i="4" s="1"/>
  <c r="L45" i="4" s="1"/>
  <c r="L46" i="4" s="1"/>
  <c r="L48" i="4"/>
  <c r="K53" i="4"/>
  <c r="L47" i="4"/>
  <c r="L60" i="4"/>
  <c r="M39" i="4" l="1"/>
  <c r="J51" i="6" a="1"/>
  <c r="F51" i="6" a="1"/>
  <c r="G51" i="6" s="1"/>
  <c r="L50" i="4"/>
  <c r="K54" i="4"/>
  <c r="K61" i="4" s="1"/>
  <c r="K63" i="4" s="1"/>
  <c r="K55" i="4"/>
  <c r="L59" i="4"/>
  <c r="C51" i="6" a="1"/>
  <c r="L49" i="4"/>
  <c r="H51" i="6" s="1" a="1"/>
  <c r="M41" i="4" l="1"/>
  <c r="M42" i="4" s="1"/>
  <c r="K64" i="4"/>
  <c r="K50" i="6" a="1"/>
  <c r="M43" i="4" l="1"/>
  <c r="M44" i="4" s="1"/>
  <c r="M45" i="4" s="1"/>
  <c r="M46" i="4" s="1"/>
  <c r="M48" i="4"/>
  <c r="L53" i="4"/>
  <c r="M47" i="4"/>
  <c r="M60" i="4"/>
  <c r="N39" i="4" l="1"/>
  <c r="J52" i="6" a="1"/>
  <c r="F52" i="6" a="1"/>
  <c r="G52" i="6" s="1"/>
  <c r="M50" i="4"/>
  <c r="L54" i="4"/>
  <c r="L61" i="4" s="1"/>
  <c r="L63" i="4" s="1"/>
  <c r="L55" i="4"/>
  <c r="M59" i="4"/>
  <c r="C52" i="6" a="1"/>
  <c r="M49" i="4"/>
  <c r="H52" i="6" s="1" a="1"/>
  <c r="N41" i="4" l="1"/>
  <c r="N42" i="4" s="1"/>
  <c r="L64" i="4"/>
  <c r="K51" i="6" a="1"/>
  <c r="N43" i="4" l="1"/>
  <c r="N44" i="4" s="1"/>
  <c r="N45" i="4" s="1"/>
  <c r="N46" i="4" s="1"/>
  <c r="N48" i="4"/>
  <c r="M53" i="4"/>
  <c r="N47" i="4"/>
  <c r="N60" i="4"/>
  <c r="O39" i="4" l="1"/>
  <c r="J53" i="6" a="1"/>
  <c r="F53" i="6" a="1"/>
  <c r="G53" i="6" s="1"/>
  <c r="N50" i="4"/>
  <c r="M54" i="4"/>
  <c r="M61" i="4" s="1"/>
  <c r="M63" i="4" s="1"/>
  <c r="M55" i="4"/>
  <c r="N59" i="4"/>
  <c r="C53" i="6" a="1"/>
  <c r="N49" i="4"/>
  <c r="H53" i="6" s="1" a="1"/>
  <c r="O41" i="4" l="1"/>
  <c r="O42" i="4" s="1"/>
  <c r="M64" i="4"/>
  <c r="K52" i="6" a="1"/>
  <c r="O43" i="4" l="1"/>
  <c r="O44" i="4" s="1"/>
  <c r="O45" i="4" s="1"/>
  <c r="O46" i="4" s="1"/>
  <c r="O48" i="4"/>
  <c r="N53" i="4"/>
  <c r="O47" i="4"/>
  <c r="O60" i="4"/>
  <c r="P39" i="4" l="1"/>
  <c r="J54" i="6" a="1"/>
  <c r="F54" i="6" a="1"/>
  <c r="G54" i="6" s="1"/>
  <c r="O50" i="4"/>
  <c r="N54" i="4"/>
  <c r="N61" i="4" s="1"/>
  <c r="N63" i="4" s="1"/>
  <c r="N55" i="4"/>
  <c r="O59" i="4"/>
  <c r="C54" i="6" a="1"/>
  <c r="O49" i="4"/>
  <c r="H54" i="6" s="1" a="1"/>
  <c r="P41" i="4" l="1"/>
  <c r="P42" i="4" s="1"/>
  <c r="N64" i="4"/>
  <c r="K53" i="6" a="1"/>
  <c r="P43" i="4" l="1"/>
  <c r="P44" i="4" s="1"/>
  <c r="P45" i="4" s="1"/>
  <c r="P46" i="4" s="1"/>
  <c r="P48" i="4"/>
  <c r="F55" i="6" s="1" a="1"/>
  <c r="G55" i="6" s="1"/>
  <c r="P50" i="4"/>
  <c r="O53" i="4"/>
  <c r="P47" i="4"/>
  <c r="P60" i="4"/>
  <c r="Q39" i="4" l="1"/>
  <c r="J55" i="6" a="1"/>
  <c r="O54" i="4"/>
  <c r="O61" i="4" s="1"/>
  <c r="O63" i="4" s="1"/>
  <c r="O55" i="4"/>
  <c r="P59" i="4"/>
  <c r="C55" i="6" a="1"/>
  <c r="P49" i="4"/>
  <c r="H55" i="6" s="1" a="1"/>
  <c r="Q41" i="4" l="1"/>
  <c r="Q42" i="4" s="1"/>
  <c r="O64" i="4"/>
  <c r="K54" i="6" a="1"/>
  <c r="Q43" i="4" l="1"/>
  <c r="Q44" i="4" s="1"/>
  <c r="Q45" i="4" s="1"/>
  <c r="Q46" i="4" s="1"/>
  <c r="Q48" i="4"/>
  <c r="F56" i="6" s="1" a="1"/>
  <c r="G56" i="6" s="1"/>
  <c r="Q50" i="4"/>
  <c r="P53" i="4"/>
  <c r="Q47" i="4"/>
  <c r="Q60" i="4"/>
  <c r="R39" i="4" l="1"/>
  <c r="J56" i="6" a="1"/>
  <c r="P54" i="4"/>
  <c r="P61" i="4" s="1"/>
  <c r="P63" i="4" s="1"/>
  <c r="P55" i="4"/>
  <c r="Q59" i="4"/>
  <c r="C56" i="6" a="1"/>
  <c r="Q49" i="4"/>
  <c r="H56" i="6" s="1" a="1"/>
  <c r="R41" i="4" l="1"/>
  <c r="R42" i="4" s="1"/>
  <c r="P64" i="4"/>
  <c r="K55" i="6" a="1"/>
  <c r="R43" i="4" l="1"/>
  <c r="R44" i="4" s="1"/>
  <c r="R45" i="4" s="1"/>
  <c r="R46" i="4" s="1"/>
  <c r="R48" i="4"/>
  <c r="F57" i="6" s="1" a="1"/>
  <c r="G57" i="6" s="1"/>
  <c r="R50" i="4"/>
  <c r="Q53" i="4"/>
  <c r="R47" i="4"/>
  <c r="R60" i="4"/>
  <c r="S39" i="4" l="1"/>
  <c r="J57" i="6" a="1"/>
  <c r="Q54" i="4"/>
  <c r="Q61" i="4" s="1"/>
  <c r="Q63" i="4" s="1"/>
  <c r="Q55" i="4"/>
  <c r="R59" i="4"/>
  <c r="C57" i="6" a="1"/>
  <c r="R49" i="4"/>
  <c r="H57" i="6" s="1" a="1"/>
  <c r="S41" i="4" l="1"/>
  <c r="S42" i="4" s="1"/>
  <c r="Q64" i="4"/>
  <c r="K56" i="6" a="1"/>
  <c r="S43" i="4" l="1"/>
  <c r="S44" i="4" s="1"/>
  <c r="S45" i="4" s="1"/>
  <c r="S46" i="4" s="1"/>
  <c r="S48" i="4"/>
  <c r="F58" i="6" s="1" a="1"/>
  <c r="G58" i="6" s="1"/>
  <c r="S50" i="4"/>
  <c r="R53" i="4"/>
  <c r="S47" i="4"/>
  <c r="S60" i="4"/>
  <c r="T39" i="4" l="1"/>
  <c r="J58" i="6" a="1"/>
  <c r="R54" i="4"/>
  <c r="R61" i="4" s="1"/>
  <c r="R63" i="4" s="1"/>
  <c r="R55" i="4"/>
  <c r="S59" i="4"/>
  <c r="C58" i="6" a="1"/>
  <c r="S49" i="4"/>
  <c r="H58" i="6" s="1" a="1"/>
  <c r="T41" i="4" l="1"/>
  <c r="T42" i="4" s="1"/>
  <c r="R64" i="4"/>
  <c r="K57" i="6" a="1"/>
  <c r="T43" i="4" l="1"/>
  <c r="T44" i="4" s="1"/>
  <c r="T45" i="4" s="1"/>
  <c r="T46" i="4" s="1"/>
  <c r="T48" i="4"/>
  <c r="F59" i="6" s="1" a="1"/>
  <c r="G59" i="6" s="1"/>
  <c r="T50" i="4"/>
  <c r="S53" i="4"/>
  <c r="T47" i="4"/>
  <c r="T60" i="4"/>
  <c r="U39" i="4" l="1"/>
  <c r="J59" i="6" a="1"/>
  <c r="S54" i="4"/>
  <c r="S61" i="4" s="1"/>
  <c r="S63" i="4" s="1"/>
  <c r="S55" i="4"/>
  <c r="T59" i="4"/>
  <c r="C59" i="6" a="1"/>
  <c r="T49" i="4"/>
  <c r="H59" i="6" s="1" a="1"/>
  <c r="U41" i="4" l="1"/>
  <c r="U42" i="4" s="1"/>
  <c r="S64" i="4"/>
  <c r="K58" i="6" a="1"/>
  <c r="U43" i="4" l="1"/>
  <c r="U44" i="4" s="1"/>
  <c r="U45" i="4" s="1"/>
  <c r="U46" i="4" s="1"/>
  <c r="U48" i="4"/>
  <c r="F60" i="6" s="1" a="1"/>
  <c r="G60" i="6" s="1"/>
  <c r="U50" i="4"/>
  <c r="T53" i="4"/>
  <c r="U47" i="4"/>
  <c r="U60" i="4"/>
  <c r="V39" i="4" l="1"/>
  <c r="J60" i="6" a="1"/>
  <c r="T54" i="4"/>
  <c r="T61" i="4" s="1"/>
  <c r="T63" i="4" s="1"/>
  <c r="T55" i="4"/>
  <c r="U59" i="4"/>
  <c r="C60" i="6" a="1"/>
  <c r="U49" i="4"/>
  <c r="H60" i="6" s="1" a="1"/>
  <c r="V41" i="4" l="1"/>
  <c r="V42" i="4" s="1"/>
  <c r="T64" i="4"/>
  <c r="K59" i="6" a="1"/>
  <c r="V43" i="4" l="1"/>
  <c r="V44" i="4" s="1"/>
  <c r="V45" i="4" s="1"/>
  <c r="V46" i="4" s="1"/>
  <c r="V48" i="4"/>
  <c r="F61" i="6" s="1" a="1"/>
  <c r="G61" i="6" s="1"/>
  <c r="V50" i="4"/>
  <c r="U53" i="4"/>
  <c r="V47" i="4"/>
  <c r="V60" i="4"/>
  <c r="W39" i="4" l="1"/>
  <c r="J61" i="6" a="1"/>
  <c r="U54" i="4"/>
  <c r="U61" i="4" s="1"/>
  <c r="U63" i="4" s="1"/>
  <c r="U55" i="4"/>
  <c r="V59" i="4"/>
  <c r="C61" i="6" a="1"/>
  <c r="V49" i="4"/>
  <c r="H61" i="6" s="1" a="1"/>
  <c r="W41" i="4" l="1"/>
  <c r="U64" i="4"/>
  <c r="K60" i="6" a="1"/>
  <c r="W42" i="4" l="1"/>
  <c r="C89" i="4"/>
  <c r="W43" i="4"/>
  <c r="W44" i="4" s="1"/>
  <c r="W45" i="4" s="1"/>
  <c r="W46" i="4" s="1"/>
  <c r="W48" i="4"/>
  <c r="W50" i="4"/>
  <c r="C76" i="4" s="1"/>
  <c r="V53" i="4"/>
  <c r="W47" i="4"/>
  <c r="W60" i="4"/>
  <c r="C90" i="4" s="1"/>
  <c r="C91" i="4" l="1"/>
  <c r="C92" i="4" s="1"/>
  <c r="J62" i="6" a="1"/>
  <c r="C77" i="4"/>
  <c r="C39" i="6" s="1"/>
  <c r="C72" i="4"/>
  <c r="C98" i="4" s="1"/>
  <c r="C70" i="4"/>
  <c r="C34" i="6" s="1"/>
  <c r="F62" i="6" a="1"/>
  <c r="G62" i="6" s="1"/>
  <c r="V54" i="4"/>
  <c r="V61" i="4" s="1"/>
  <c r="V63" i="4" s="1"/>
  <c r="W54" i="4"/>
  <c r="W61" i="4" s="1"/>
  <c r="V55" i="4"/>
  <c r="W59" i="4"/>
  <c r="W63" i="4" s="1"/>
  <c r="C62" i="6" a="1"/>
  <c r="W49" i="4"/>
  <c r="C94" i="4" l="1"/>
  <c r="C33" i="6"/>
  <c r="C36" i="6" s="1"/>
  <c r="H62" i="6" a="1"/>
  <c r="C73" i="4"/>
  <c r="C37" i="6"/>
  <c r="V64" i="4"/>
  <c r="W64" i="4" s="1"/>
  <c r="C75" i="4" s="1"/>
  <c r="K61" i="6" a="1"/>
  <c r="C74" i="4"/>
  <c r="C32" i="6" s="1"/>
  <c r="C67" i="4"/>
  <c r="K62" i="6" a="1"/>
  <c r="C38" i="6" l="1"/>
  <c r="C29" i="6"/>
  <c r="C31" i="6" s="1"/>
  <c r="C95" i="4"/>
  <c r="C96" i="4" s="1"/>
  <c r="K62" i="6"/>
  <c r="J62" i="6"/>
  <c r="H62" i="6"/>
  <c r="F62" i="6"/>
  <c r="C62" i="6"/>
  <c r="B62" i="6"/>
  <c r="K61" i="6"/>
  <c r="J61" i="6"/>
  <c r="H61" i="6"/>
  <c r="F61" i="6"/>
  <c r="C61" i="6"/>
  <c r="B61" i="6"/>
  <c r="K60" i="6"/>
  <c r="J60" i="6"/>
  <c r="H60" i="6"/>
  <c r="F60" i="6"/>
  <c r="C60" i="6"/>
  <c r="B60" i="6"/>
  <c r="K59" i="6"/>
  <c r="J59" i="6"/>
  <c r="H59" i="6"/>
  <c r="F59" i="6"/>
  <c r="C59" i="6"/>
  <c r="B59" i="6"/>
  <c r="K58" i="6"/>
  <c r="J58" i="6"/>
  <c r="H58" i="6"/>
  <c r="F58" i="6"/>
  <c r="C58" i="6"/>
  <c r="B58" i="6"/>
  <c r="K57" i="6"/>
  <c r="J57" i="6"/>
  <c r="H57" i="6"/>
  <c r="F57" i="6"/>
  <c r="C57" i="6"/>
  <c r="B57" i="6"/>
  <c r="K56" i="6"/>
  <c r="J56" i="6"/>
  <c r="H56" i="6"/>
  <c r="F56" i="6"/>
  <c r="C56" i="6"/>
  <c r="B56" i="6"/>
  <c r="K55" i="6"/>
  <c r="J55" i="6"/>
  <c r="H55" i="6"/>
  <c r="F55" i="6"/>
  <c r="C55" i="6"/>
  <c r="B55" i="6"/>
  <c r="K54" i="6"/>
  <c r="J54" i="6"/>
  <c r="H54" i="6"/>
  <c r="F54" i="6"/>
  <c r="C54" i="6"/>
  <c r="B54" i="6"/>
  <c r="K53" i="6"/>
  <c r="J53" i="6"/>
  <c r="H53" i="6"/>
  <c r="F53" i="6"/>
  <c r="C53" i="6"/>
  <c r="B53" i="6"/>
  <c r="K52" i="6"/>
  <c r="J52" i="6"/>
  <c r="H52" i="6"/>
  <c r="F52" i="6"/>
  <c r="C52" i="6"/>
  <c r="B52" i="6"/>
  <c r="K51" i="6"/>
  <c r="J51" i="6"/>
  <c r="H51" i="6"/>
  <c r="F51" i="6"/>
  <c r="C51" i="6"/>
  <c r="B51" i="6"/>
  <c r="K50" i="6"/>
  <c r="J50" i="6"/>
  <c r="H50" i="6"/>
  <c r="F50" i="6"/>
  <c r="C50" i="6"/>
  <c r="B50" i="6"/>
  <c r="K49" i="6"/>
  <c r="J49" i="6"/>
  <c r="H49" i="6"/>
  <c r="F49" i="6"/>
  <c r="C49" i="6"/>
  <c r="B49" i="6"/>
  <c r="K48" i="6"/>
  <c r="J48" i="6"/>
  <c r="H48" i="6"/>
  <c r="F48" i="6"/>
  <c r="C48" i="6"/>
  <c r="B48" i="6"/>
  <c r="K47" i="6"/>
  <c r="J47" i="6"/>
  <c r="H47" i="6"/>
  <c r="F47" i="6"/>
  <c r="C47" i="6"/>
  <c r="B47" i="6"/>
  <c r="K46" i="6"/>
  <c r="J46" i="6"/>
  <c r="H46" i="6"/>
  <c r="F46" i="6"/>
  <c r="C46" i="6"/>
  <c r="B46" i="6"/>
  <c r="K45" i="6"/>
  <c r="J45" i="6"/>
  <c r="H45" i="6"/>
  <c r="F45" i="6"/>
  <c r="C45" i="6"/>
  <c r="B45" i="6"/>
  <c r="K44" i="6"/>
  <c r="J44" i="6"/>
  <c r="H44" i="6"/>
  <c r="F44" i="6"/>
  <c r="C44" i="6"/>
  <c r="B44" i="6"/>
  <c r="K43" i="6"/>
  <c r="J43" i="6"/>
  <c r="H43" i="6"/>
  <c r="F43" i="6"/>
  <c r="C43" i="6"/>
  <c r="B43" i="6"/>
  <c r="C140" i="5"/>
  <c r="B140" i="5"/>
  <c r="C139" i="5"/>
  <c r="B139" i="5"/>
  <c r="C138" i="5"/>
  <c r="B138" i="5"/>
  <c r="C137" i="5"/>
  <c r="B137" i="5"/>
  <c r="C136" i="5"/>
  <c r="B136" i="5"/>
  <c r="C135" i="5"/>
  <c r="B135" i="5"/>
  <c r="C134" i="5"/>
  <c r="B134" i="5"/>
  <c r="C133" i="5"/>
  <c r="B133" i="5"/>
  <c r="C132" i="5"/>
  <c r="B132" i="5"/>
  <c r="C131" i="5"/>
  <c r="B131" i="5"/>
  <c r="C130" i="5"/>
  <c r="B130" i="5"/>
  <c r="C129" i="5"/>
  <c r="B129" i="5"/>
  <c r="C128" i="5"/>
  <c r="B128" i="5"/>
  <c r="C127" i="5"/>
  <c r="B127" i="5"/>
  <c r="C126" i="5"/>
  <c r="B126" i="5"/>
  <c r="C125" i="5"/>
  <c r="B125" i="5"/>
  <c r="C124" i="5"/>
  <c r="B124" i="5"/>
  <c r="C123" i="5"/>
  <c r="B123" i="5"/>
  <c r="C122" i="5"/>
  <c r="B122" i="5"/>
  <c r="C121" i="5"/>
  <c r="B121" i="5"/>
  <c r="C120" i="5"/>
  <c r="B120" i="5"/>
  <c r="C119" i="5"/>
  <c r="B119" i="5"/>
  <c r="C118" i="5"/>
  <c r="B118" i="5"/>
  <c r="C117" i="5"/>
  <c r="B117" i="5"/>
  <c r="C116" i="5"/>
  <c r="B116" i="5"/>
  <c r="C115" i="5"/>
  <c r="B115" i="5"/>
  <c r="C114" i="5"/>
  <c r="B114" i="5"/>
  <c r="C113" i="5"/>
  <c r="B113" i="5"/>
  <c r="C112" i="5"/>
  <c r="B112" i="5"/>
  <c r="C111" i="5"/>
  <c r="B111" i="5"/>
  <c r="C110" i="5"/>
  <c r="B110" i="5"/>
  <c r="C109" i="5"/>
  <c r="B109" i="5"/>
  <c r="C108" i="5"/>
  <c r="B108" i="5"/>
  <c r="C107" i="5"/>
  <c r="B107" i="5"/>
  <c r="C106" i="5"/>
  <c r="B106" i="5"/>
  <c r="C105" i="5"/>
  <c r="B105" i="5"/>
  <c r="C104" i="5"/>
  <c r="B104" i="5"/>
  <c r="C103" i="5"/>
  <c r="B103" i="5"/>
  <c r="C102" i="5"/>
  <c r="B102" i="5"/>
  <c r="C101" i="5"/>
  <c r="B101" i="5"/>
  <c r="C100" i="5"/>
  <c r="B100" i="5"/>
  <c r="C99" i="5"/>
  <c r="B99" i="5"/>
  <c r="C98" i="5"/>
  <c r="B98" i="5"/>
  <c r="C97" i="5"/>
  <c r="B97" i="5"/>
  <c r="C96" i="5"/>
  <c r="B96" i="5"/>
  <c r="C95" i="5"/>
  <c r="B95" i="5"/>
  <c r="C94" i="5"/>
  <c r="B94" i="5"/>
  <c r="C93" i="5"/>
  <c r="B93" i="5"/>
  <c r="C92" i="5"/>
  <c r="B92" i="5"/>
  <c r="D89" i="5"/>
  <c r="B89" i="5"/>
  <c r="D88" i="5"/>
  <c r="B88" i="5"/>
  <c r="D87" i="5"/>
  <c r="B87" i="5"/>
  <c r="D86" i="5"/>
  <c r="B86" i="5"/>
  <c r="D85" i="5"/>
  <c r="B85" i="5"/>
  <c r="D84" i="5"/>
  <c r="B84" i="5"/>
  <c r="D83" i="5"/>
  <c r="B83" i="5"/>
  <c r="D82" i="5"/>
  <c r="B82" i="5"/>
  <c r="D81" i="5"/>
  <c r="B81" i="5"/>
  <c r="D80" i="5"/>
  <c r="B80" i="5"/>
  <c r="D79" i="5"/>
  <c r="B79" i="5"/>
  <c r="D78" i="5"/>
  <c r="B78" i="5"/>
  <c r="D77" i="5"/>
  <c r="B77" i="5"/>
  <c r="D76" i="5"/>
  <c r="B76" i="5"/>
  <c r="D75" i="5"/>
  <c r="B75" i="5"/>
  <c r="D74" i="5"/>
  <c r="B74" i="5"/>
  <c r="D73" i="5"/>
  <c r="B73" i="5"/>
  <c r="D72" i="5"/>
  <c r="B72" i="5"/>
  <c r="D71" i="5"/>
  <c r="B71" i="5"/>
  <c r="D70" i="5"/>
  <c r="B70" i="5"/>
  <c r="D69" i="5"/>
  <c r="B69" i="5"/>
  <c r="D68" i="5"/>
  <c r="B68" i="5"/>
  <c r="D67" i="5"/>
  <c r="B67" i="5"/>
  <c r="D66" i="5"/>
  <c r="B66" i="5"/>
  <c r="D65" i="5"/>
  <c r="B65" i="5"/>
  <c r="D64" i="5"/>
  <c r="B64" i="5"/>
  <c r="D63" i="5"/>
  <c r="B63" i="5"/>
  <c r="D62" i="5"/>
  <c r="B62" i="5"/>
  <c r="D61" i="5"/>
  <c r="B61" i="5"/>
  <c r="D60" i="5"/>
  <c r="B60" i="5"/>
  <c r="D59" i="5"/>
  <c r="B59" i="5"/>
  <c r="D58" i="5"/>
  <c r="B58" i="5"/>
  <c r="D57" i="5"/>
  <c r="B57" i="5"/>
  <c r="D56" i="5"/>
  <c r="B56" i="5"/>
  <c r="D55" i="5"/>
  <c r="B55" i="5"/>
  <c r="D54" i="5"/>
  <c r="B54" i="5"/>
  <c r="D53" i="5"/>
  <c r="B53" i="5"/>
  <c r="D52" i="5"/>
  <c r="B52" i="5"/>
  <c r="D51" i="5"/>
  <c r="B51" i="5"/>
  <c r="D50" i="5"/>
  <c r="B50" i="5"/>
  <c r="D49" i="5"/>
  <c r="B49" i="5"/>
  <c r="D48" i="5"/>
  <c r="B48" i="5"/>
  <c r="D47" i="5"/>
  <c r="B47" i="5"/>
  <c r="D46" i="5"/>
  <c r="B46" i="5"/>
  <c r="D45" i="5"/>
  <c r="B45" i="5"/>
  <c r="D44" i="5"/>
  <c r="B44" i="5"/>
  <c r="D43" i="5"/>
  <c r="B43" i="5"/>
  <c r="D42" i="5"/>
  <c r="B42" i="5"/>
  <c r="D41" i="5"/>
  <c r="B41" i="5"/>
  <c r="I30" i="5"/>
  <c r="H30" i="5"/>
  <c r="G30" i="5"/>
  <c r="F30" i="5"/>
  <c r="E30" i="5"/>
  <c r="D30" i="5"/>
  <c r="C30" i="5"/>
  <c r="I29" i="5"/>
  <c r="H29" i="5"/>
  <c r="G29" i="5"/>
  <c r="F29" i="5"/>
  <c r="E29" i="5"/>
  <c r="D29" i="5"/>
  <c r="C29" i="5"/>
  <c r="I28" i="5"/>
  <c r="H28" i="5"/>
  <c r="G28" i="5"/>
  <c r="F28" i="5"/>
  <c r="E28" i="5"/>
  <c r="D28" i="5"/>
  <c r="C28" i="5"/>
  <c r="I27" i="5"/>
  <c r="H27" i="5"/>
  <c r="G27" i="5"/>
  <c r="F27" i="5"/>
  <c r="E27" i="5"/>
  <c r="D27" i="5"/>
  <c r="C27" i="5"/>
  <c r="I26" i="5"/>
  <c r="H26" i="5"/>
  <c r="G26" i="5"/>
  <c r="F26" i="5"/>
  <c r="E26" i="5"/>
  <c r="D26" i="5"/>
  <c r="C26" i="5"/>
  <c r="I25" i="5"/>
  <c r="H25" i="5"/>
  <c r="G25" i="5"/>
  <c r="F25" i="5"/>
  <c r="E25" i="5"/>
  <c r="D25" i="5"/>
  <c r="C25" i="5"/>
  <c r="I24" i="5"/>
  <c r="H24" i="5"/>
  <c r="G24" i="5"/>
  <c r="F24" i="5"/>
  <c r="E24" i="5"/>
  <c r="D24" i="5"/>
  <c r="C24" i="5"/>
  <c r="S18" i="5"/>
  <c r="R18" i="5"/>
  <c r="Q18" i="5"/>
  <c r="P18" i="5"/>
  <c r="O18" i="5"/>
  <c r="N18" i="5"/>
  <c r="M18" i="5"/>
  <c r="I18" i="5"/>
  <c r="H18" i="5"/>
  <c r="G18" i="5"/>
  <c r="F18" i="5"/>
  <c r="E18" i="5"/>
  <c r="D18" i="5"/>
  <c r="C18" i="5"/>
  <c r="S17" i="5"/>
  <c r="R17" i="5"/>
  <c r="Q17" i="5"/>
  <c r="P17" i="5"/>
  <c r="O17" i="5"/>
  <c r="N17" i="5"/>
  <c r="M17" i="5"/>
  <c r="I17" i="5"/>
  <c r="H17" i="5"/>
  <c r="G17" i="5"/>
  <c r="F17" i="5"/>
  <c r="E17" i="5"/>
  <c r="D17" i="5"/>
  <c r="C17" i="5"/>
  <c r="S16" i="5"/>
  <c r="R16" i="5"/>
  <c r="Q16" i="5"/>
  <c r="P16" i="5"/>
  <c r="O16" i="5"/>
  <c r="N16" i="5"/>
  <c r="M16" i="5"/>
  <c r="I16" i="5"/>
  <c r="H16" i="5"/>
  <c r="G16" i="5"/>
  <c r="F16" i="5"/>
  <c r="E16" i="5"/>
  <c r="D16" i="5"/>
  <c r="C16" i="5"/>
  <c r="S15" i="5"/>
  <c r="R15" i="5"/>
  <c r="Q15" i="5"/>
  <c r="P15" i="5"/>
  <c r="O15" i="5"/>
  <c r="N15" i="5"/>
  <c r="M15" i="5"/>
  <c r="I15" i="5"/>
  <c r="H15" i="5"/>
  <c r="G15" i="5"/>
  <c r="F15" i="5"/>
  <c r="E15" i="5"/>
  <c r="D15" i="5"/>
  <c r="C15" i="5"/>
  <c r="S14" i="5"/>
  <c r="R14" i="5"/>
  <c r="Q14" i="5"/>
  <c r="P14" i="5"/>
  <c r="O14" i="5"/>
  <c r="N14" i="5"/>
  <c r="M14" i="5"/>
  <c r="I14" i="5"/>
  <c r="H14" i="5"/>
  <c r="G14" i="5"/>
  <c r="F14" i="5"/>
  <c r="E14" i="5"/>
  <c r="D14" i="5"/>
  <c r="C14" i="5"/>
  <c r="S13" i="5"/>
  <c r="R13" i="5"/>
  <c r="Q13" i="5"/>
  <c r="P13" i="5"/>
  <c r="O13" i="5"/>
  <c r="N13" i="5"/>
  <c r="M13" i="5"/>
  <c r="I13" i="5"/>
  <c r="H13" i="5"/>
  <c r="G13" i="5"/>
  <c r="F13" i="5"/>
  <c r="E13" i="5"/>
  <c r="D13" i="5"/>
  <c r="C13" i="5"/>
  <c r="S12" i="5"/>
  <c r="R12" i="5"/>
  <c r="Q12" i="5"/>
  <c r="P12" i="5"/>
  <c r="O12" i="5"/>
  <c r="N12" i="5"/>
  <c r="M12" i="5"/>
  <c r="I12" i="5"/>
  <c r="H12" i="5"/>
  <c r="G12" i="5"/>
  <c r="F12" i="5"/>
  <c r="E12" i="5"/>
  <c r="D12" i="5"/>
  <c r="C1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<sst xmlns="http://schemas.openxmlformats.org/spreadsheetml/2006/main" count="514" uniqueCount="322">
  <si>
    <t>Assumptions Tab — all model inputs live here</t>
  </si>
  <si>
    <t>Colour key:   BLUE = hardcoded input   |   BLACK = formula / calculation   |   GREEN = link from another tab</t>
  </si>
  <si>
    <t>All currency in USD millions unless stated otherwise.</t>
  </si>
  <si>
    <t>1. PROJECT &amp; TECHNICAL</t>
  </si>
  <si>
    <t>Value</t>
  </si>
  <si>
    <t>Unit</t>
  </si>
  <si>
    <t>Note / source</t>
  </si>
  <si>
    <t>Installed capacity</t>
  </si>
  <si>
    <t>MW</t>
  </si>
  <si>
    <t>Case assumption</t>
  </si>
  <si>
    <t>Hours per year</t>
  </si>
  <si>
    <t>hours</t>
  </si>
  <si>
    <t>Case assumption (365 x 24)</t>
  </si>
  <si>
    <t>Net capacity factor</t>
  </si>
  <si>
    <t>%</t>
  </si>
  <si>
    <t>Applied to gross generation — key sensitivity driver</t>
  </si>
  <si>
    <t>Gross generation at 100% capacity factor</t>
  </si>
  <si>
    <t>GWh</t>
  </si>
  <si>
    <t>= Capacity (MW) x 1,000 x hours</t>
  </si>
  <si>
    <t>Net annual generation</t>
  </si>
  <si>
    <t>= Gross generation x net capacity factor</t>
  </si>
  <si>
    <t>kWh</t>
  </si>
  <si>
    <t>Flat across all 20 years — no panel degradation assumed (see note below)</t>
  </si>
  <si>
    <t>2. CONSTRUCTION &amp; CAPEX</t>
  </si>
  <si>
    <t>Total construction cost (capex)</t>
  </si>
  <si>
    <t>USD m</t>
  </si>
  <si>
    <t>Incurred evenly over a 12-month build</t>
  </si>
  <si>
    <t>Implied capex per MW</t>
  </si>
  <si>
    <t>USD m / MW</t>
  </si>
  <si>
    <t>Sanity check — in line with utility-scale solar benchmarks</t>
  </si>
  <si>
    <t>Construction period</t>
  </si>
  <si>
    <t>months</t>
  </si>
  <si>
    <t>Single construction year (Year 0 = calendar 2026)</t>
  </si>
  <si>
    <t>Construction start</t>
  </si>
  <si>
    <t>date</t>
  </si>
  <si>
    <t>Assumption — 12 months before COD</t>
  </si>
  <si>
    <t>Commercial operation date (COD)</t>
  </si>
  <si>
    <t>Year 1 of operations</t>
  </si>
  <si>
    <t>Operating life / PPA term</t>
  </si>
  <si>
    <t>years</t>
  </si>
  <si>
    <t>20-year take-or-pay PPA</t>
  </si>
  <si>
    <t>3. REVENUE &amp; OPERATING COSTS</t>
  </si>
  <si>
    <t>PPA tariff — Year 1</t>
  </si>
  <si>
    <t>USD / kWh</t>
  </si>
  <si>
    <t>20-year take-or-pay PPA — key sensitivity driver</t>
  </si>
  <si>
    <t>Tariff escalation (from Year 2)</t>
  </si>
  <si>
    <t>% p.a.</t>
  </si>
  <si>
    <t>Contractual indexation</t>
  </si>
  <si>
    <t>Implied Year 1 revenue</t>
  </si>
  <si>
    <t>Cross-check against Model tab</t>
  </si>
  <si>
    <t>Operating cost — Year 1</t>
  </si>
  <si>
    <t>O&amp;M, insurance, land, admin</t>
  </si>
  <si>
    <t>Operating cost escalation (from Year 2)</t>
  </si>
  <si>
    <t>Assumed local inflation proxy</t>
  </si>
  <si>
    <t>Implied Year 1 EBITDA margin</t>
  </si>
  <si>
    <t>Sanity check — typical for solar IPP with low variable cost</t>
  </si>
  <si>
    <t>4. DEPRECIATION, TAX &amp; DISCOUNTING</t>
  </si>
  <si>
    <t>Depreciation life (straight-line)</t>
  </si>
  <si>
    <t>Asset fully depreciated over the PPA term</t>
  </si>
  <si>
    <t>Annual depreciation charge</t>
  </si>
  <si>
    <t>= Capex / depreciation life</t>
  </si>
  <si>
    <t>Corporate tax rate</t>
  </si>
  <si>
    <t>Tax paid in the year incurred; no loss carry-forward modelled</t>
  </si>
  <si>
    <t>Project discount rate (unlevered WACC)</t>
  </si>
  <si>
    <t>Prescribed by the case for project NPV</t>
  </si>
  <si>
    <t>Maximum gearing (debt as % of project cost)</t>
  </si>
  <si>
    <t>Debt tenor from COD</t>
  </si>
  <si>
    <t>Interest rate on drawn senior debt</t>
  </si>
  <si>
    <t>Minimum DSCR covenant</t>
  </si>
  <si>
    <t>x</t>
  </si>
  <si>
    <t>Hard covenant — must be met in every period</t>
  </si>
  <si>
    <t>Target sculpting DSCR</t>
  </si>
  <si>
    <t>Debt service sculpted to this DSCR; set = covenant to maximise capacity</t>
  </si>
  <si>
    <t>DSRA — months of forward debt service</t>
  </si>
  <si>
    <t>Funded at COD from equity; released on final repayment</t>
  </si>
  <si>
    <t>Cash sweep — % of surplus cash</t>
  </si>
  <si>
    <t>Applied after scheduled debt service, until debt repaid</t>
  </si>
  <si>
    <t>Cash sweep switch (1 = on, 0 = off)</t>
  </si>
  <si>
    <t>flag</t>
  </si>
  <si>
    <t>Toggle to show the schedule with and without the sweep</t>
  </si>
  <si>
    <t>Maximum debt by gearing cap</t>
  </si>
  <si>
    <t>= 70% x total project cost</t>
  </si>
  <si>
    <t>6. STATED ASSUMPTIONS &amp; JUDGEMENTS (where the case is silent)</t>
  </si>
  <si>
    <t>1.  Periodicity: annual periods. Year 0 = construction (calendar 2026); Years 1-20 = operations (2027-2046). Cash flows treated as arising at period end.</t>
  </si>
  <si>
    <t>2.  Capex is incurred evenly over the 12-month build, i.e. wholly within Year 0. No interest during construction or capitalised financing costs are charged, as the case gives no drawdown profile within the build.</t>
  </si>
  <si>
    <t>3.  No panel degradation is assumed — the case specifies a single net capacity factor of 21% and no degradation rate. In practice 0.4-0.5% p.a. would apply; this is flagged as an upside risk to CFADS in later years.</t>
  </si>
  <si>
    <t>4.  Take-or-pay PPA: 100% of net generation is deemed sold each year, so there is no volume risk and no receivables build. Working capital is therefore assumed nil throughout.</t>
  </si>
  <si>
    <t>5.  No maintenance capex, inverter replacement reserve or decommissioning cost is modelled — none is given. Real-world inverter replacement around Year 10-12 would be a genuine CFADS drag.</t>
  </si>
  <si>
    <t>6.  Tax is computed on an unlevered basis in the Model tab so that CFADS is clean and pre-financing. The interest tax shield is calculated separately on the Debt tab and credited to equity cash flow, which keeps the Section A model valid standalone.</t>
  </si>
  <si>
    <t>7.  No tax losses arise on the base case, so no loss carry-forward mechanic is needed. A check row on the Model tab flags if taxable profit ever turns negative.</t>
  </si>
  <si>
    <t>8.  Total project cost for the gearing test is taken as capex of USD 60.0m. The DSRA is funded by equity at COD and sits outside the gearing base — stated explicitly because it changes the debt cap.</t>
  </si>
  <si>
    <t>10. Terminal / residual value is nil at the end of Year 20. The asset is fully depreciated and the PPA expires; any merchant-tail value is treated as unmodelled upside.</t>
  </si>
  <si>
    <t>Unlevered project cash flows. All figures USD m unless stated. Green = link to Assumptions tab.</t>
  </si>
  <si>
    <t>Period (year from COD)</t>
  </si>
  <si>
    <t>Calendar year</t>
  </si>
  <si>
    <t>Phase</t>
  </si>
  <si>
    <t>Operating period flag</t>
  </si>
  <si>
    <t>REVENUE BUILD</t>
  </si>
  <si>
    <t>Net generation</t>
  </si>
  <si>
    <t>PPA tariff</t>
  </si>
  <si>
    <t>USD/kWh</t>
  </si>
  <si>
    <t>Revenue</t>
  </si>
  <si>
    <t>OPERATING COSTS</t>
  </si>
  <si>
    <t>Operating cost (O&amp;M, insurance, admin)</t>
  </si>
  <si>
    <t>EBITDA</t>
  </si>
  <si>
    <t>EBITDA margin</t>
  </si>
  <si>
    <t>DEPRECIATION, TAX &amp; ASSET BASE</t>
  </si>
  <si>
    <t>Opening net book value</t>
  </si>
  <si>
    <t>Add: capex additions</t>
  </si>
  <si>
    <t>Less: depreciation charge</t>
  </si>
  <si>
    <t>Closing net book value</t>
  </si>
  <si>
    <t>EBIT (EBITDA less depreciation)</t>
  </si>
  <si>
    <t>Tax at corporate rate (unlevered basis)</t>
  </si>
  <si>
    <t>Check: taxable profit not negative</t>
  </si>
  <si>
    <t>CASH FLOW</t>
  </si>
  <si>
    <t>Less: cash tax (unlevered)</t>
  </si>
  <si>
    <t>Less: change in net working capital</t>
  </si>
  <si>
    <t>CFADS — CASH FLOW AVAILABLE FOR DEBT SERVICE</t>
  </si>
  <si>
    <t>Less: capex</t>
  </si>
  <si>
    <t>UNLEVERED FREE CASH FLOW (PROJECT FCF)</t>
  </si>
  <si>
    <t>Cumulative unlevered free cash flow</t>
  </si>
  <si>
    <t>Discount factor at project discount rate</t>
  </si>
  <si>
    <t>PV of unlevered free cash flow</t>
  </si>
  <si>
    <t>PROJECT RETURNS — UNLEVERED</t>
  </si>
  <si>
    <t>Project IRR (unlevered)</t>
  </si>
  <si>
    <t>Project NPV at discount rate (sum of PV row)</t>
  </si>
  <si>
    <t>Cross-check: NPV via NPV() function</t>
  </si>
  <si>
    <t>Check: two NPV methods agree</t>
  </si>
  <si>
    <t>Simple payback (years from COD, undiscounted)</t>
  </si>
  <si>
    <t>Undiscounted cash-on-cash multiple</t>
  </si>
  <si>
    <t>Total lifetime generation</t>
  </si>
  <si>
    <t>BREAKEVEN ANALYSIS AT THE 10% DISCOUNT RATE</t>
  </si>
  <si>
    <t>PV of revenue (Years 1-20)</t>
  </si>
  <si>
    <t>PV of operating cost (Years 1-20)</t>
  </si>
  <si>
    <t>PV of depreciation tax shield</t>
  </si>
  <si>
    <t>Revenue uplift required for NPV = 0</t>
  </si>
  <si>
    <t>Breakeven PPA tariff (capacity factor held at base)</t>
  </si>
  <si>
    <t>Breakeven net capacity factor (tariff held at base)</t>
  </si>
  <si>
    <t>Breakeven total capex (revenue held at base)</t>
  </si>
  <si>
    <t>Check: breakeven tariff reproduces NPV of zero</t>
  </si>
  <si>
    <t>Debt sized off the Model tab CFADS line. Repayment sculpted to the target DSCR. All figures USD m.</t>
  </si>
  <si>
    <t>1. DEBT SIZING — WHICH CONSTRAINT BINDS?</t>
  </si>
  <si>
    <t>CFADS (link from Model tab)</t>
  </si>
  <si>
    <t>Debt period flag (within tenor)</t>
  </si>
  <si>
    <t>Maximum affordable debt service at target DSCR</t>
  </si>
  <si>
    <t>Discount factor at senior debt interest rate</t>
  </si>
  <si>
    <t>PV of maximum affordable debt service</t>
  </si>
  <si>
    <t>Sizing test results</t>
  </si>
  <si>
    <t>(a)  Maximum debt supported by the 1.30x DSCR covenant</t>
  </si>
  <si>
    <t>(b)  Maximum debt supported by the 70% gearing cap</t>
  </si>
  <si>
    <t>SENIOR DEBT SIZED (lower of a and b)</t>
  </si>
  <si>
    <t>BINDING CONSTRAINT</t>
  </si>
  <si>
    <t>Implied gearing (debt / total construction cost)</t>
  </si>
  <si>
    <t>Debt service scaling factor (1.00 if DSCR binds)</t>
  </si>
  <si>
    <t>Resulting DSCR on the sculpted profile</t>
  </si>
  <si>
    <t>Headroom of sized debt vs gearing cap</t>
  </si>
  <si>
    <t>2. SOURCES AND USES AT FINANCIAL CLOSE</t>
  </si>
  <si>
    <t>% of total</t>
  </si>
  <si>
    <t>SOURCES</t>
  </si>
  <si>
    <t xml:space="preserve">     Senior debt — National Infrastructure Fund</t>
  </si>
  <si>
    <t xml:space="preserve">     Sponsor equity</t>
  </si>
  <si>
    <t>Total sources</t>
  </si>
  <si>
    <t>USES</t>
  </si>
  <si>
    <t xml:space="preserve">     Construction capex (EPC, land, grid connection, development)</t>
  </si>
  <si>
    <t xml:space="preserve">     Debt service reserve account (6 months forward debt service)</t>
  </si>
  <si>
    <t>Total uses</t>
  </si>
  <si>
    <t>Check: total sources = total uses</t>
  </si>
  <si>
    <t>Debt : equity ratio</t>
  </si>
  <si>
    <t>Note: the DSRA is funded by sponsor equity at COD and sits outside the 70% gearing base (see Assumptions, note 8).</t>
  </si>
  <si>
    <t>3. SENIOR DEBT REPAYMENT SCHEDULE (sculpted to target DSCR, with cash sweep)</t>
  </si>
  <si>
    <t>Opening balance</t>
  </si>
  <si>
    <t>Drawdown at financial close</t>
  </si>
  <si>
    <t>Interest accrued at senior debt rate</t>
  </si>
  <si>
    <t>Scheduled debt service (sculpted)</t>
  </si>
  <si>
    <t xml:space="preserve">     of which: scheduled principal</t>
  </si>
  <si>
    <t>Cash sweep principal (50% of surplus cash)</t>
  </si>
  <si>
    <t>Total principal repaid</t>
  </si>
  <si>
    <t>Closing balance</t>
  </si>
  <si>
    <t>TOTAL DEBT SERVICE (interest + all principal)</t>
  </si>
  <si>
    <t>DSCR — scheduled debt service basis (covenant test)</t>
  </si>
  <si>
    <t>DSCR — including cash sweep</t>
  </si>
  <si>
    <t>Covenant check (scheduled DSCR &gt;= minimum)</t>
  </si>
  <si>
    <t>4. DEBT SERVICE RESERVE ACCOUNT</t>
  </si>
  <si>
    <t>DSRA required (6 months of forward scheduled debt service)</t>
  </si>
  <si>
    <t>Movement: (funding) / release</t>
  </si>
  <si>
    <t>DSRA closing balance</t>
  </si>
  <si>
    <t>5. EQUITY CASH FLOW &amp; RETURNS</t>
  </si>
  <si>
    <t>CFADS</t>
  </si>
  <si>
    <t>Less: total debt service</t>
  </si>
  <si>
    <t>Add: interest tax shield (capped at taxable profit)</t>
  </si>
  <si>
    <t>DSRA: (funding) / release</t>
  </si>
  <si>
    <t>Less: sponsor equity injection into capex</t>
  </si>
  <si>
    <t>EQUITY CASH FLOW</t>
  </si>
  <si>
    <t>Cumulative equity cash flow</t>
  </si>
  <si>
    <t>Levered returns &amp; covenant summary</t>
  </si>
  <si>
    <t>EQUITY IRR (post-tax, nominal USD)</t>
  </si>
  <si>
    <t>Project IRR (unlevered, from Model tab)</t>
  </si>
  <si>
    <t>MINIMUM DSCR across the debt tenor</t>
  </si>
  <si>
    <t>AVERAGE DSCR across the debt tenor</t>
  </si>
  <si>
    <t>Minimum DSCR including the cash sweep</t>
  </si>
  <si>
    <t>Debt fully repaid in operating year</t>
  </si>
  <si>
    <t>year</t>
  </si>
  <si>
    <t>Years ahead of the 15-year tenor</t>
  </si>
  <si>
    <t>Equity cash-on-cash multiple</t>
  </si>
  <si>
    <t>Equity payback (operating years from COD)</t>
  </si>
  <si>
    <t>Check: no DSCR covenant breach in any period</t>
  </si>
  <si>
    <t>Check: closing debt balance is nil at end of tenor</t>
  </si>
  <si>
    <t>Note: the DSCR covenant is tested against scheduled debt service. The cash sweep is a mandatory prepayment of surplus cash that sits below the covenant test — market-standard treatment.</t>
  </si>
  <si>
    <t>6. WHY WE CHOSE A SCULPTED REPAYMENT PROFILE OVER LEVEL DEBT SERVICE</t>
  </si>
  <si>
    <t>First, it maximises debt capacity for a given covenant. Sculpting sets each period's debt service as a fixed multiple of that period's CFADS, so every year contributes its full affordable amount. A level-annuity profile must be sized to the WORST year's coverage, which on an escalating revenue line is Year 1 — the constraint then binds for fifteen years even though CFADS grows throughout. On these numbers sculpting supports USD 33.97m; a level profile sized to keep Year 1 at 1.30x would support materially less and would leave the sponsor to fund the difference in equity that earns below its cost.</t>
  </si>
  <si>
    <t>Second, it matches the cash flow shape of the asset. A solar IPP under a take-or-pay PPA has near-deterministic revenue that escalates at a contractual 1.5% while opex escalates at 3%, so CFADS rises gently and predictably from USD 4.89m to USD 5.83m. Sculpting tracks that curve. Level debt service deliberately mismatches it: coverage is tightest exactly when the plant is newest, least proven and most exposed to commissioning and early-life performance risk — which is the wrong way round from a credit perspective.</t>
  </si>
  <si>
    <t>Third, it gives the credit committee a flat, legible covenant profile. Scheduled DSCR is 1.30x in every one of the twelve repayment periods — minimum equals average equals target. There is no single weak year to argue about, no back-ended balloon, and the covenant test is trivially auditable. Under a level profile DSCR would drift upward over time, which looks reassuring in later years but concentrates all of the risk in the early ones.</t>
  </si>
  <si>
    <t>The honest trade-off against sculpting: it leaves zero headroom by construction. Because debt service is set at exactly CFADS divided by 1.30, any CFADS underperformance breaches the covenant immediately — there is no cushion absorbing a bad year. This is why our first recommended mitigant is to sculpt to 1.40x or 1.45x instead, accepting a smaller facility in exchange for real headroom. Change the target DSCR input on the Assumptions tab and the entire schedule, sizing and equity IRR resize accordingly.</t>
  </si>
  <si>
    <t>A level-annuity alternative can be produced from this model by replacing the scheduled debt service row with =PMT(interest rate, remaining tenor, -opening balance); we have not hard-wired a toggle because the sculpted case is the one we would take to committee.</t>
  </si>
  <si>
    <t>7. WHY LEVERAGE IS ROUGHLY VALUE-NEUTRAL — DECOMPOSITION</t>
  </si>
  <si>
    <t>Total interest paid over the life of the facility</t>
  </si>
  <si>
    <t>Total interest tax shield captured</t>
  </si>
  <si>
    <t>Shield as % of interest (approaches the tax rate)</t>
  </si>
  <si>
    <t>Project (unlevered) IRR — the asset return</t>
  </si>
  <si>
    <t>SPREAD: asset return less after-tax cost of debt</t>
  </si>
  <si>
    <t>pp</t>
  </si>
  <si>
    <t>Equity IRR actually achieved</t>
  </si>
  <si>
    <t>Net effect of leverage on equity IRR</t>
  </si>
  <si>
    <t>DSRA funded at COD and idle until release</t>
  </si>
  <si>
    <t>Years the DSRA is tied up earning nothing</t>
  </si>
  <si>
    <t>The naive read is that an 8.0% coupon against a 6.07% asset return must dilute equity. That is wrong, and the decomposition above shows why: interest is tax-deductible, so the shield of USD 6.15m recovers almost exactly the 30% tax rate and drops the effective cost of the facility to 5.60% — roughly 47bp BELOW the unlevered asset return. On a pure cost-of-capital basis this leverage is marginally accretive.</t>
  </si>
  <si>
    <t>The reason equity IRR still lands 3bp below the project IRR is not the coupon at all. It is the debt service reserve account: USD 1.88m of sponsor equity is locked at COD, earns nothing for twelve years, and is only returned when the facility is retired. That idle capital costs the equity holder more than the thin positive spread on the debt earns. Net effect: leverage here is value-neutral to three basis points, which is a materially different conclusion from 'the debt is too expensive'.</t>
  </si>
  <si>
    <t>The conclusion that matters is unchanged and should lead the deck: BOTH returns are approximately 6% in nominal USD. The problem is not the capital structure, which is efficient and well covenanted. The problem is the asset economics — a 0.075/kWh tariff against 60m of capex. No financing structure can fix a project whose unlevered return is 4pp below its own discount rate; only the tariff or the capital cost can.</t>
  </si>
  <si>
    <t>SENSITIVITY ANALYSIS — PROJECT RETURNS</t>
  </si>
  <si>
    <t>Grids are driven by the live scenario engine lower down this tab — every number traces to a visible formula. Base case sits in the centre cell (highlighted).</t>
  </si>
  <si>
    <t>Tariff step size</t>
  </si>
  <si>
    <t>Capacity factor step size</t>
  </si>
  <si>
    <t>percentage points</t>
  </si>
  <si>
    <t>Capex step size</t>
  </si>
  <si>
    <t>GRID 1 — PROJECT (UNLEVERED) IRR: NET CAPACITY FACTOR vs PPA TARIFF</t>
  </si>
  <si>
    <t>GRID 3 — PROJECT (UNLEVERED) IRR: TOTAL CAPEX vs NET CAPACITY FACTOR</t>
  </si>
  <si>
    <t>PPA tariff (USD / kWh) →</t>
  </si>
  <si>
    <t>Total capex (USD m) →</t>
  </si>
  <si>
    <t>Project IRR</t>
  </si>
  <si>
    <t>Net capacity factor ↓</t>
  </si>
  <si>
    <t>Capacity factor ↓</t>
  </si>
  <si>
    <t>GRID 2 — PROJECT NPV AT 10% DISCOUNT RATE (USD m): CAPACITY FACTOR vs PPA TARIFF</t>
  </si>
  <si>
    <t>NPV (USD m)</t>
  </si>
  <si>
    <t>Base case is outlined in red. The scenario engine rows below (grouped — click + to expand) contain the full 21-year cash flow for each of the 98 scenarios; the grids simply INDEX into them, so no static values are used anywhere.</t>
  </si>
  <si>
    <t>▼ SCENARIO ENGINE (grouped — expand to audit)</t>
  </si>
  <si>
    <t>SCENARIO ENGINE — SHARED YEAR-BY-YEAR DRIVERS (identical across all scenarios)</t>
  </si>
  <si>
    <t>Year →</t>
  </si>
  <si>
    <t>Tariff escalation factor</t>
  </si>
  <si>
    <t>Operating cost (USD m)</t>
  </si>
  <si>
    <t>Depreciation (USD m)</t>
  </si>
  <si>
    <t>Capex (USD m)</t>
  </si>
  <si>
    <t>Scenario #</t>
  </si>
  <si>
    <t>Capacity factor</t>
  </si>
  <si>
    <t>Net gen (GWh)</t>
  </si>
  <si>
    <t>Tariff (USD/kWh)</t>
  </si>
  <si>
    <t>NPV @ WACC</t>
  </si>
  <si>
    <t>Unlevered free cash flow by year (USD m)</t>
  </si>
  <si>
    <t>Total capex</t>
  </si>
  <si>
    <t>Unlevered free cash flow by year (USD m) — capex-varying engine</t>
  </si>
  <si>
    <t>Every figure below is a live link to the Model, Debt or Assumptions tab. Change any input and this page updates.</t>
  </si>
  <si>
    <t>PROJECT ECONOMICS</t>
  </si>
  <si>
    <t>Total construction cost</t>
  </si>
  <si>
    <t>Year 1 revenue</t>
  </si>
  <si>
    <t>Year 1 EBITDA</t>
  </si>
  <si>
    <t>Year 1 CFADS</t>
  </si>
  <si>
    <t>Average annual CFADS (Years 1-20)</t>
  </si>
  <si>
    <t>PROJECT IRR (unlevered)</t>
  </si>
  <si>
    <t>PROJECT NPV at 10% discount rate</t>
  </si>
  <si>
    <t>Simple payback from COD</t>
  </si>
  <si>
    <t>Maximum debt under the 70% gearing cap</t>
  </si>
  <si>
    <t>Maximum debt under the 1.30x DSCR covenant</t>
  </si>
  <si>
    <t>Senior debt sized — National Infrastructure Fund</t>
  </si>
  <si>
    <t>Sponsor equity (incl. DSRA funding)</t>
  </si>
  <si>
    <t xml:space="preserve">     of which: debt service reserve account</t>
  </si>
  <si>
    <t>Total sources = total uses</t>
  </si>
  <si>
    <t>Gearing achieved (debt / construction cost)</t>
  </si>
  <si>
    <t>Unused capacity under the gearing cap</t>
  </si>
  <si>
    <t>RETURNS &amp; COVENANT PERFORMANCE</t>
  </si>
  <si>
    <t>EQUITY IRR (post-tax)</t>
  </si>
  <si>
    <t>Project IRR (unlevered), for comparison</t>
  </si>
  <si>
    <t>Net effect of leverage on equity IRR (after tax shield)</t>
  </si>
  <si>
    <t>MINIMUM DSCR across the tenor</t>
  </si>
  <si>
    <t>AVERAGE DSCR across the tenor</t>
  </si>
  <si>
    <t>Headroom to covenant at the minimum</t>
  </si>
  <si>
    <t>Years repaid ahead of the 15-year tenor</t>
  </si>
  <si>
    <t>Model integrity check (all checks pass)</t>
  </si>
  <si>
    <t>CHART SOURCE DATA (live links — do not overwrite)</t>
  </si>
  <si>
    <t>Operating year</t>
  </si>
  <si>
    <t>Total debt service</t>
  </si>
  <si>
    <t>DSCR (scheduled)</t>
  </si>
  <si>
    <t>Covenant floor</t>
  </si>
  <si>
    <t>DSCR incl. cash sweep</t>
  </si>
  <si>
    <t>Senior debt outstanding</t>
  </si>
  <si>
    <t>Equity cash flow</t>
  </si>
  <si>
    <t>WHAT WOULD HAVE TO BE TRUE FOR THE PROJECT TO CLEAR A 10% RETURN</t>
  </si>
  <si>
    <t>Required</t>
  </si>
  <si>
    <t>Breakeven PPA tariff (vs base of 0.0750)</t>
  </si>
  <si>
    <t xml:space="preserve">     implied tariff increase required</t>
  </si>
  <si>
    <t>Breakeven net capacity factor (vs base of 21.0%)</t>
  </si>
  <si>
    <t>Breakeven total capex (vs base of 60.0)</t>
  </si>
  <si>
    <t xml:space="preserve">     implied capex reduction required</t>
  </si>
  <si>
    <t>Yes as a credit, no as an equity investment on these assumptions. The debt stands up: a USD 33.97m senior facility sculpted to a flat 1.30x DSCR is fully covered by a take-or-pay PPA with a single offtaker, gearing of 56.6% sits comfortably inside the 70% cap (USD 8.03m of unused headroom), the six-month DSRA and the 50% cash sweep retire the facility in Year 12 — three years inside the 15-year tenor. There is no period of covenant breach and no reliance on a refinancing.</t>
  </si>
  <si>
    <t>TWO RISKS TO MITIGATE BEFORE FINANCIAL CLOSE</t>
  </si>
  <si>
    <t>1.  Offtaker credit and payment risk. The entire debt service rests on one counterparty under a 20-year take-or-pay PPA, and the model shows only 0.00x of DSCR headroom above the covenant — the structure is sized to exactly 1.30x, so any payment delay breaches immediately. Mitigants: a sovereign or Treasury payment guarantee, a letter of credit sized to three to six months of invoicing on top of the DSRA, and a liquidity facility or covenant reset mechanism. Alternatively, size the debt to a 1.40-1.45x sculpting target to buy genuine headroom, accepting a smaller facility.</t>
  </si>
  <si>
    <t>2.  Resource and capex risk. The 21% net capacity factor is a single point estimate with no degradation allowance, and the 6.07% unlevered IRR leaves no room for either a resource shortfall or a construction overrun. Grid 3 shows a USD 5m capex overrun costs roughly 0.8pp of project IRR. Mitigants: an independent P50/P90 energy yield study with the debt sized off P90 rather than P50, a fixed-price date-certain turnkey EPC contract with liquidated damages, a 5-10% contingency inside the capex line, and an inverter replacement reserve funded from operating cash from around Year 8.</t>
  </si>
  <si>
    <t>Note: the model deliberately excludes panel degradation, maintenance capex and any residual value — see the stated assumptions on the Assumptions tab. Degradation and an inverter replacement reserve would both reduce late-life CFADS and are the first two items to add before a real credit submission.</t>
  </si>
  <si>
    <t>Meridian Solar IPP — 50 MW</t>
  </si>
  <si>
    <t>Meridian Solar IPP — PROJECT FINANCE MODEL (SECTION A)</t>
  </si>
  <si>
    <t>Meridian Solar IPP — SUMMARY OF FINDINGS</t>
  </si>
  <si>
    <t>5. SECTION C — Domestic Infrastructure Fund SENIOR DEBT TERMS</t>
  </si>
  <si>
    <t>DIF cap — 70:30 debt:equity</t>
  </si>
  <si>
    <t>DIF maximum tenor</t>
  </si>
  <si>
    <t>DIF term sheet</t>
  </si>
  <si>
    <t>9.  All figures are nominal USD. No FX exposure is modelled: the PPA, capex and DIF debt are all assumed USD-denominated. Local-currency tariff settlement would introduce FX risk (flagged in Section C risks).</t>
  </si>
  <si>
    <t>DIF SENIOR DEBT PACKAGE — Meridian Solar IPP (SECTION C)</t>
  </si>
  <si>
    <t>The DIF term sheet permits either. We have sculpted to a target DSCR of 1.30x for three reasons.</t>
  </si>
  <si>
    <t>Effective AFTER-TAX cost of the DIF senior debt</t>
  </si>
  <si>
    <t>FUNDING STRUCTURE — DIF SENIOR DEBT PACKAGE</t>
  </si>
  <si>
    <t>DSCR covenant required by the DIF</t>
  </si>
  <si>
    <t>NOTE TO THE DIF CREDIT COMMITTEE — IS THIS BANKABLE?</t>
  </si>
  <si>
    <t>The weakness is not the financing, it is the asset. At a 0.075/kWh tariff and USD 60m of capex the project earns an unlevered IRR of only 6.07% and a negative NPV of USD 15.68m against its own 10% discount rate. Note carefully what is NOT the problem: the DIF's 8.0% coupon looks expensive against a 6.07% asset return, but interest is tax-deductible, so the effective after-tax cost of the facility is 5.60% — about 47bp cheaper than the asset return. The capital structure is efficient. Equity IRR of 6.04% lands a bare 3bp below the project IRR, and that shortfall is the opportunity cost of USD 1.88m of DSRA sitting idle for twelve years, not the pricing of the debt. See the decomposition in section 7 of the Debt tab.</t>
  </si>
  <si>
    <t>Recommendation: no financing structure can rescue a project whose unlevered return sits 4pp below its own discount rate. The firm should not take this to the DIF's credit committee as an approvable transaction until the tariff or the capital cost is renegotiated — the project needs roughly 0.101/kWh (+34.5%), a 28.2% capacity factor, or capex cut to about USD 42m. The debt package itself is sound and can be lifted unchanged once the underlying economics are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</si>
</sst>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dd\-mmm\-yyyy"/>
    <numFmt numFmtId="167" formatCode="0.0000"/>
    <numFmt numFmtId="168" formatCode="0.00&quot;x&quot;"/>
    <numFmt numFmtId="169" formatCode="#,##0.0;\(#,##0.0\);\-"/>
    <numFmt numFmtId="170" formatCode="0.0000;\(0.0000\);\-"/>
    <numFmt numFmtId="171" formatCode="#,##0.00;\(#,##0.00\);\-"/>
    <numFmt numFmtId="172" formatCode="0.0%;\(0.0%\);\-"/>
    <numFmt numFmtId="173" formatCode="0.00&quot;x&quot;;\(0.00&quot;x&quot;\);&quot;n/a&quot;"/>
    <numFmt numFmtId="174" formatCode="0.000"/>
    <numFmt numFmtId="175" formatCode="0.00;\(0.00\);\-"/>
    <numFmt numFmtId="176" formatCode="0.000&quot;x&quot;"/>
  </numFmts>
  <fonts count="22" x14ac:knownFonts="1">
    <font>
      <sz val="11"/>
      <color theme="1"/>
      <name val="Calibri"/>
      <family val="2"/>
      <scheme val="minor"/>
    </font>
    <font>
      <b/>
      <sz val="16"/>
      <color rgb="FF1F3864"/>
      <name val="Calibri"/>
      <family val="2"/>
      <scheme val="minor"/>
    </font>
    <font>
      <i/>
      <sz val="11"/>
      <color rgb="FF595959"/>
      <name val="Calibri"/>
      <family val="2"/>
      <scheme val="minor"/>
    </font>
    <font>
      <sz val="9"/>
      <color rgb="FF808080"/>
      <name val="Calibri"/>
      <family val="2"/>
      <scheme val="minor"/>
    </font>
    <font>
      <i/>
      <sz val="9"/>
      <color rgb="FF808080"/>
      <name val="Calibri"/>
      <family val="2"/>
      <scheme val="minor"/>
    </font>
    <font>
      <b/>
      <sz val="11"/>
      <color rgb="FFFFFFFF"/>
      <name val="Calibri"/>
      <family val="2"/>
      <scheme val="minor"/>
    </font>
    <font>
      <sz val="11"/>
      <color rgb="FF0000FF"/>
      <name val="Calibri"/>
      <family val="2"/>
      <scheme val="minor"/>
    </font>
    <font>
      <b/>
      <sz val="11"/>
      <color theme="1"/>
      <name val="Calibri"/>
      <family val="2"/>
      <scheme val="minor"/>
    </font>
    <font>
      <sz val="10"/>
      <color theme="1"/>
      <name val="Calibri"/>
      <family val="2"/>
      <scheme val="minor"/>
    </font>
    <font>
      <b/>
      <sz val="14"/>
      <color rgb="FF1F3864"/>
      <name val="Calibri"/>
      <family val="2"/>
      <scheme val="minor"/>
    </font>
    <font>
      <i/>
      <sz val="10"/>
      <color rgb="FF595959"/>
      <name val="Calibri"/>
      <family val="2"/>
      <scheme val="minor"/>
    </font>
    <font>
      <sz val="11"/>
      <color rgb="FF008000"/>
      <name val="Calibri"/>
      <family val="2"/>
      <scheme val="minor"/>
    </font>
    <font>
      <b/>
      <sz val="11"/>
      <color rgb="FF008000"/>
      <name val="Calibri"/>
      <family val="2"/>
      <scheme val="minor"/>
    </font>
    <font>
      <sz val="9"/>
      <color theme="1"/>
      <name val="Calibri"/>
      <family val="2"/>
      <scheme val="minor"/>
    </font>
    <font>
      <i/>
      <sz val="9"/>
      <color theme="1"/>
      <name val="Calibri"/>
      <family val="2"/>
      <scheme val="minor"/>
    </font>
    <font>
      <b/>
      <sz val="14"/>
      <color rgb="FFC55A11"/>
      <name val="Calibri"/>
      <family val="2"/>
      <scheme val="minor"/>
    </font>
    <font>
      <b/>
      <i/>
      <sz val="11"/>
      <color theme="1"/>
      <name val="Calibri"/>
      <family val="2"/>
      <scheme val="minor"/>
    </font>
    <font>
      <b/>
      <sz val="9"/>
      <color theme="1"/>
      <name val="Calibri"/>
      <family val="2"/>
      <scheme val="minor"/>
    </font>
    <font>
      <b/>
      <sz val="9"/>
      <color rgb="FFFFFFFF"/>
      <name val="Calibri"/>
      <family val="2"/>
      <scheme val="minor"/>
    </font>
    <font>
      <sz val="8"/>
      <color theme="1"/>
      <name val="Calibri"/>
      <family val="2"/>
      <scheme val="minor"/>
    </font>
    <font>
      <b/>
      <sz val="9"/>
      <color rgb="FF7F7F7F"/>
      <name val="Calibri"/>
      <family val="2"/>
      <scheme val="minor"/>
    </font>
    <font>
      <b/>
      <sz val="10"/>
      <color theme="1"/>
      <name val="Calibri"/>
      <family val="2"/>
      <scheme val="minor"/>
    </font>
  </fonts>
  <fills count="18">
    <fill>
      <patternFill patternType="none"/>
    </fill>
    <fill>
      <patternFill patternType="gray125"/>
    </fill>
    <fill>
      <patternFill patternType="solid">
        <fgColor rgb="FF1F3864"/>
        <bgColor indexed="64"/>
      </patternFill>
    </fill>
    <fill>
      <patternFill patternType="solid">
        <fgColor rgb="FFFFFF00"/>
        <bgColor indexed="64"/>
      </patternFill>
    </fill>
    <fill>
      <patternFill patternType="solid">
        <fgColor rgb="FFC55A11"/>
        <bgColor indexed="64"/>
      </patternFill>
    </fill>
    <fill>
      <patternFill patternType="solid">
        <fgColor rgb="FF548235"/>
        <bgColor indexed="64"/>
      </patternFill>
    </fill>
    <fill>
      <patternFill patternType="solid">
        <fgColor rgb="FFDDEBF7"/>
        <bgColor indexed="64"/>
      </patternFill>
    </fill>
    <fill>
      <patternFill patternType="solid">
        <fgColor rgb="FFF2F2F2"/>
        <bgColor indexed="64"/>
      </patternFill>
    </fill>
    <fill>
      <patternFill patternType="solid">
        <fgColor rgb="FF833C00"/>
        <bgColor indexed="64"/>
      </patternFill>
    </fill>
    <fill>
      <patternFill patternType="solid">
        <fgColor rgb="FFFCE4D6"/>
        <bgColor indexed="64"/>
      </patternFill>
    </fill>
    <fill>
      <patternFill patternType="solid">
        <fgColor rgb="FFE2EFDA"/>
        <bgColor indexed="64"/>
      </patternFill>
    </fill>
    <fill>
      <patternFill patternType="solid">
        <fgColor rgb="FF375623"/>
        <bgColor indexed="64"/>
      </patternFill>
    </fill>
    <fill>
      <patternFill patternType="solid">
        <fgColor rgb="FFD9D9D9"/>
        <bgColor indexed="64"/>
      </patternFill>
    </fill>
    <fill>
      <patternFill patternType="solid">
        <fgColor rgb="FF7F7F7F"/>
        <bgColor indexed="64"/>
      </patternFill>
    </fill>
    <fill>
      <patternFill patternType="solid">
        <fgColor rgb="FF7F3F9F"/>
        <bgColor indexed="64"/>
      </patternFill>
    </fill>
    <fill>
      <patternFill patternType="solid">
        <fgColor rgb="FFC00000"/>
        <bgColor indexed="64"/>
      </patternFill>
    </fill>
    <fill>
      <patternFill patternType="solid">
        <fgColor rgb="FFE4D7F0"/>
        <bgColor indexed="64"/>
      </patternFill>
    </fill>
    <fill>
      <patternFill patternType="solid">
        <fgColor rgb="FFFFF2CC"/>
        <bgColor indexed="64"/>
      </patternFill>
    </fill>
  </fills>
  <borders count="2">
    <border>
      <left/>
      <right/>
      <top/>
      <bottom/>
      <diagonal/>
    </border>
    <border>
      <left style="thick">
        <color rgb="FFC00000"/>
      </left>
      <right style="thick">
        <color rgb="FFC00000"/>
      </right>
      <top style="thick">
        <color rgb="FFC00000"/>
      </top>
      <bottom style="thick">
        <color rgb="FFC00000"/>
      </bottom>
      <diagonal/>
    </border>
  </borders>
  <cellStyleXfs count="1">
    <xf numFmtId="0" fontId="0" fillId="0" borderId="0"/>
  </cellStyleXfs>
  <cellXfs count="141">
    <xf numFmtId="0" fontId="0" fillId="0" borderId="0" xfId="0"/>
    <xf numFmtId="0" fontId="1" fillId="0" borderId="0" xfId="0" applyFont="1"/>
    <xf numFmtId="0" fontId="2" fillId="0" borderId="0" xfId="0" applyFont="1"/>
    <xf numFmtId="0" fontId="4" fillId="0" borderId="0" xfId="0" applyFont="1"/>
    <xf numFmtId="0" fontId="5" fillId="2" borderId="0" xfId="0" applyFont="1" applyFill="1"/>
    <xf numFmtId="0" fontId="5" fillId="2" borderId="0" xfId="0" applyFont="1" applyFill="1" applyAlignment="1">
      <alignment horizontal="center"/>
    </xf>
    <xf numFmtId="164" fontId="6" fillId="0" borderId="0" xfId="0" applyNumberFormat="1" applyFont="1" applyAlignment="1">
      <alignment horizontal="center"/>
    </xf>
    <xf numFmtId="0" fontId="0" fillId="0" borderId="0" xfId="0" applyAlignment="1">
      <alignment horizontal="center"/>
    </xf>
    <xf numFmtId="3" fontId="6" fillId="0" borderId="0" xfId="0" applyNumberFormat="1" applyFont="1" applyAlignment="1">
      <alignment horizontal="center"/>
    </xf>
    <xf numFmtId="165" fontId="6" fillId="3" borderId="0" xfId="0" applyNumberFormat="1" applyFont="1" applyFill="1" applyAlignment="1">
      <alignment horizontal="center"/>
    </xf>
    <xf numFmtId="164" fontId="0" fillId="0" borderId="0" xfId="0" applyNumberFormat="1" applyAlignment="1">
      <alignment horizontal="center"/>
    </xf>
    <xf numFmtId="0" fontId="0" fillId="0" borderId="0" xfId="0" quotePrefix="1"/>
    <xf numFmtId="0" fontId="7" fillId="0" borderId="0" xfId="0" applyFont="1"/>
    <xf numFmtId="3" fontId="0" fillId="0" borderId="0" xfId="0" applyNumberFormat="1" applyAlignment="1">
      <alignment horizontal="center"/>
    </xf>
    <xf numFmtId="164" fontId="6" fillId="3" borderId="0" xfId="0" applyNumberFormat="1" applyFont="1" applyFill="1" applyAlignment="1">
      <alignment horizontal="center"/>
    </xf>
    <xf numFmtId="4" fontId="0" fillId="0" borderId="0" xfId="0" applyNumberFormat="1" applyAlignment="1">
      <alignment horizontal="center"/>
    </xf>
    <xf numFmtId="166" fontId="6" fillId="0" borderId="0" xfId="0" applyNumberFormat="1" applyFont="1" applyAlignment="1">
      <alignment horizontal="center"/>
    </xf>
    <xf numFmtId="167" fontId="6" fillId="3" borderId="0" xfId="0" applyNumberFormat="1" applyFont="1" applyFill="1" applyAlignment="1">
      <alignment horizontal="center"/>
    </xf>
    <xf numFmtId="165" fontId="6" fillId="0" borderId="0" xfId="0" applyNumberFormat="1" applyFont="1" applyAlignment="1">
      <alignment horizontal="center"/>
    </xf>
    <xf numFmtId="4" fontId="6" fillId="0" borderId="0" xfId="0" applyNumberFormat="1" applyFont="1" applyAlignment="1">
      <alignment horizontal="center"/>
    </xf>
    <xf numFmtId="165" fontId="0" fillId="0" borderId="0" xfId="0" applyNumberFormat="1" applyAlignment="1">
      <alignment horizontal="center"/>
    </xf>
    <xf numFmtId="0" fontId="5" fillId="4" borderId="0" xfId="0" applyFont="1" applyFill="1"/>
    <xf numFmtId="0" fontId="5" fillId="4" borderId="0" xfId="0" applyFont="1" applyFill="1" applyAlignment="1">
      <alignment horizontal="center"/>
    </xf>
    <xf numFmtId="168" fontId="6" fillId="0" borderId="0" xfId="0" applyNumberFormat="1" applyFont="1" applyAlignment="1">
      <alignment horizontal="center"/>
    </xf>
    <xf numFmtId="168" fontId="6" fillId="3" borderId="0" xfId="0" applyNumberFormat="1" applyFont="1" applyFill="1" applyAlignment="1">
      <alignment horizontal="center"/>
    </xf>
    <xf numFmtId="3" fontId="6" fillId="3" borderId="0" xfId="0" applyNumberFormat="1" applyFont="1" applyFill="1" applyAlignment="1">
      <alignment horizontal="center"/>
    </xf>
    <xf numFmtId="4" fontId="7" fillId="0" borderId="0" xfId="0" applyNumberFormat="1" applyFont="1" applyAlignment="1">
      <alignment horizontal="center"/>
    </xf>
    <xf numFmtId="0" fontId="5" fillId="5" borderId="0" xfId="0" applyFont="1" applyFill="1"/>
    <xf numFmtId="0" fontId="8" fillId="0" borderId="0" xfId="0" applyFont="1"/>
    <xf numFmtId="0" fontId="9" fillId="0" borderId="0" xfId="0" applyFont="1"/>
    <xf numFmtId="0" fontId="10" fillId="0" borderId="0" xfId="0" applyFont="1"/>
    <xf numFmtId="1" fontId="7" fillId="0" borderId="0" xfId="0" applyNumberFormat="1" applyFont="1" applyAlignment="1">
      <alignment horizontal="center"/>
    </xf>
    <xf numFmtId="0" fontId="14" fillId="0" borderId="0" xfId="0" applyFont="1"/>
    <xf numFmtId="0" fontId="14" fillId="0" borderId="0" xfId="0" applyFont="1" applyAlignment="1">
      <alignment horizontal="center"/>
    </xf>
    <xf numFmtId="1" fontId="0" fillId="0" borderId="0" xfId="0" applyNumberFormat="1" applyAlignment="1">
      <alignment horizontal="center"/>
    </xf>
    <xf numFmtId="1" fontId="0" fillId="0" borderId="0" xfId="0" applyNumberFormat="1"/>
    <xf numFmtId="0" fontId="0" fillId="2" borderId="0" xfId="0" applyFill="1"/>
    <xf numFmtId="0" fontId="13" fillId="0" borderId="0" xfId="0" applyFont="1" applyAlignment="1">
      <alignment horizontal="center"/>
    </xf>
    <xf numFmtId="169" fontId="0" fillId="0" borderId="0" xfId="0" applyNumberFormat="1"/>
    <xf numFmtId="170" fontId="0" fillId="0" borderId="0" xfId="0" applyNumberFormat="1"/>
    <xf numFmtId="171" fontId="7" fillId="0" borderId="0" xfId="0" applyNumberFormat="1" applyFont="1"/>
    <xf numFmtId="171" fontId="0" fillId="0" borderId="0" xfId="0" applyNumberFormat="1"/>
    <xf numFmtId="172" fontId="0" fillId="0" borderId="0" xfId="0" applyNumberFormat="1"/>
    <xf numFmtId="0" fontId="3" fillId="0" borderId="0" xfId="0" applyFont="1" applyAlignment="1">
      <alignment horizontal="center"/>
    </xf>
    <xf numFmtId="171" fontId="6" fillId="0" borderId="0" xfId="0" applyNumberFormat="1" applyFont="1"/>
    <xf numFmtId="0" fontId="7" fillId="6" borderId="0" xfId="0" applyFont="1" applyFill="1"/>
    <xf numFmtId="0" fontId="13" fillId="6" borderId="0" xfId="0" applyFont="1" applyFill="1" applyAlignment="1">
      <alignment horizontal="center"/>
    </xf>
    <xf numFmtId="171" fontId="7" fillId="6" borderId="0" xfId="0" applyNumberFormat="1" applyFont="1" applyFill="1"/>
    <xf numFmtId="167" fontId="0" fillId="0" borderId="0" xfId="0" applyNumberFormat="1"/>
    <xf numFmtId="0" fontId="0" fillId="5" borderId="0" xfId="0" applyFill="1"/>
    <xf numFmtId="0" fontId="5" fillId="5" borderId="0" xfId="0" applyFont="1" applyFill="1" applyAlignment="1">
      <alignment horizontal="center"/>
    </xf>
    <xf numFmtId="10" fontId="7" fillId="0" borderId="0" xfId="0" applyNumberFormat="1" applyFont="1" applyAlignment="1">
      <alignment horizontal="center"/>
    </xf>
    <xf numFmtId="171" fontId="7" fillId="0" borderId="0" xfId="0" applyNumberFormat="1" applyFont="1" applyAlignment="1">
      <alignment horizontal="center"/>
    </xf>
    <xf numFmtId="171" fontId="0" fillId="0" borderId="0" xfId="0" applyNumberFormat="1" applyAlignment="1">
      <alignment horizontal="center"/>
    </xf>
    <xf numFmtId="168" fontId="0" fillId="0" borderId="0" xfId="0" applyNumberFormat="1" applyAlignment="1">
      <alignment horizontal="center"/>
    </xf>
    <xf numFmtId="169" fontId="0" fillId="0" borderId="0" xfId="0" applyNumberFormat="1" applyAlignment="1">
      <alignment horizontal="center"/>
    </xf>
    <xf numFmtId="0" fontId="7" fillId="7" borderId="0" xfId="0" applyFont="1" applyFill="1"/>
    <xf numFmtId="0" fontId="7" fillId="7" borderId="0" xfId="0" applyFont="1" applyFill="1" applyAlignment="1">
      <alignment horizontal="center"/>
    </xf>
    <xf numFmtId="1" fontId="7" fillId="7" borderId="0" xfId="0" applyNumberFormat="1" applyFont="1" applyFill="1" applyAlignment="1">
      <alignment horizontal="center"/>
    </xf>
    <xf numFmtId="0" fontId="0" fillId="7" borderId="0" xfId="0" applyFill="1"/>
    <xf numFmtId="1" fontId="12" fillId="7" borderId="0" xfId="0" applyNumberFormat="1" applyFont="1" applyFill="1" applyAlignment="1">
      <alignment horizontal="center"/>
    </xf>
    <xf numFmtId="0" fontId="14" fillId="7" borderId="0" xfId="0" applyFont="1" applyFill="1" applyAlignment="1">
      <alignment horizontal="center"/>
    </xf>
    <xf numFmtId="1" fontId="0" fillId="7" borderId="0" xfId="0" applyNumberFormat="1" applyFill="1" applyAlignment="1">
      <alignment horizontal="center"/>
    </xf>
    <xf numFmtId="0" fontId="15" fillId="0" borderId="0" xfId="0" applyFont="1"/>
    <xf numFmtId="0" fontId="0" fillId="4" borderId="0" xfId="0" applyFill="1"/>
    <xf numFmtId="171" fontId="11" fillId="0" borderId="0" xfId="0" applyNumberFormat="1" applyFont="1"/>
    <xf numFmtId="0" fontId="5" fillId="8" borderId="0" xfId="0" applyFont="1" applyFill="1"/>
    <xf numFmtId="0" fontId="0" fillId="8" borderId="0" xfId="0" applyFill="1"/>
    <xf numFmtId="0" fontId="5" fillId="8" borderId="0" xfId="0" applyFont="1" applyFill="1" applyAlignment="1">
      <alignment horizontal="center"/>
    </xf>
    <xf numFmtId="4" fontId="11" fillId="0" borderId="0" xfId="0" applyNumberFormat="1" applyFont="1" applyAlignment="1">
      <alignment horizontal="center"/>
    </xf>
    <xf numFmtId="0" fontId="7" fillId="9" borderId="0" xfId="0" applyFont="1" applyFill="1"/>
    <xf numFmtId="0" fontId="13" fillId="9" borderId="0" xfId="0" applyFont="1" applyFill="1" applyAlignment="1">
      <alignment horizontal="center"/>
    </xf>
    <xf numFmtId="4" fontId="7" fillId="9" borderId="0" xfId="0" applyNumberFormat="1" applyFont="1" applyFill="1" applyAlignment="1">
      <alignment horizontal="center"/>
    </xf>
    <xf numFmtId="0" fontId="0" fillId="9" borderId="0" xfId="0" applyFill="1"/>
    <xf numFmtId="0" fontId="7" fillId="9" borderId="0" xfId="0" applyFont="1" applyFill="1" applyAlignment="1">
      <alignment horizontal="center"/>
    </xf>
    <xf numFmtId="167" fontId="0" fillId="0" borderId="0" xfId="0" applyNumberFormat="1" applyAlignment="1">
      <alignment horizontal="center"/>
    </xf>
    <xf numFmtId="0" fontId="16" fillId="0" borderId="0" xfId="0" applyFont="1"/>
    <xf numFmtId="165" fontId="7" fillId="0" borderId="0" xfId="0" applyNumberFormat="1" applyFont="1" applyAlignment="1">
      <alignment horizontal="center"/>
    </xf>
    <xf numFmtId="171" fontId="7" fillId="9" borderId="0" xfId="0" applyNumberFormat="1" applyFont="1" applyFill="1"/>
    <xf numFmtId="173" fontId="7" fillId="0" borderId="0" xfId="0" applyNumberFormat="1" applyFont="1"/>
    <xf numFmtId="173" fontId="0" fillId="0" borderId="0" xfId="0" applyNumberFormat="1"/>
    <xf numFmtId="0" fontId="7" fillId="10" borderId="0" xfId="0" applyFont="1" applyFill="1"/>
    <xf numFmtId="0" fontId="13" fillId="10" borderId="0" xfId="0" applyFont="1" applyFill="1" applyAlignment="1">
      <alignment horizontal="center"/>
    </xf>
    <xf numFmtId="171" fontId="7" fillId="10" borderId="0" xfId="0" applyNumberFormat="1" applyFont="1" applyFill="1"/>
    <xf numFmtId="0" fontId="5" fillId="11" borderId="0" xfId="0" applyFont="1" applyFill="1"/>
    <xf numFmtId="0" fontId="0" fillId="11" borderId="0" xfId="0" applyFill="1"/>
    <xf numFmtId="0" fontId="5" fillId="11" borderId="0" xfId="0" applyFont="1" applyFill="1" applyAlignment="1">
      <alignment horizontal="center"/>
    </xf>
    <xf numFmtId="10" fontId="11" fillId="0" borderId="0" xfId="0" applyNumberFormat="1" applyFont="1" applyAlignment="1">
      <alignment horizontal="center"/>
    </xf>
    <xf numFmtId="168" fontId="7" fillId="0" borderId="0" xfId="0" applyNumberFormat="1" applyFont="1" applyAlignment="1">
      <alignment horizontal="center"/>
    </xf>
    <xf numFmtId="167" fontId="6" fillId="0" borderId="0" xfId="0" applyNumberFormat="1" applyFont="1" applyAlignment="1">
      <alignment horizontal="center"/>
    </xf>
    <xf numFmtId="0" fontId="17" fillId="12" borderId="0" xfId="0" applyFont="1" applyFill="1" applyAlignment="1">
      <alignment horizontal="center"/>
    </xf>
    <xf numFmtId="167" fontId="7" fillId="12" borderId="0" xfId="0" applyNumberFormat="1" applyFont="1" applyFill="1" applyAlignment="1">
      <alignment horizontal="center"/>
    </xf>
    <xf numFmtId="165" fontId="7" fillId="12" borderId="0" xfId="0" applyNumberFormat="1" applyFont="1" applyFill="1" applyAlignment="1">
      <alignment horizontal="center"/>
    </xf>
    <xf numFmtId="0" fontId="5" fillId="13" borderId="0" xfId="0" applyFont="1" applyFill="1"/>
    <xf numFmtId="0" fontId="17" fillId="0" borderId="0" xfId="0" applyFont="1" applyAlignment="1">
      <alignment horizontal="right"/>
    </xf>
    <xf numFmtId="0" fontId="13" fillId="0" borderId="0" xfId="0" applyFont="1" applyAlignment="1">
      <alignment horizontal="right"/>
    </xf>
    <xf numFmtId="174" fontId="0" fillId="0" borderId="0" xfId="0" applyNumberFormat="1"/>
    <xf numFmtId="2" fontId="0" fillId="0" borderId="0" xfId="0" applyNumberFormat="1"/>
    <xf numFmtId="0" fontId="18" fillId="13" borderId="0" xfId="0" applyFont="1" applyFill="1"/>
    <xf numFmtId="0" fontId="18" fillId="13" borderId="0" xfId="0" applyFont="1" applyFill="1" applyAlignment="1">
      <alignment horizontal="center"/>
    </xf>
    <xf numFmtId="1" fontId="13" fillId="0" borderId="0" xfId="0" applyNumberFormat="1" applyFont="1" applyAlignment="1">
      <alignment horizontal="center"/>
    </xf>
    <xf numFmtId="165" fontId="13" fillId="0" borderId="0" xfId="0" applyNumberFormat="1" applyFont="1" applyAlignment="1">
      <alignment horizontal="center"/>
    </xf>
    <xf numFmtId="164" fontId="13" fillId="0" borderId="0" xfId="0" applyNumberFormat="1" applyFont="1" applyAlignment="1">
      <alignment horizontal="center"/>
    </xf>
    <xf numFmtId="167" fontId="13" fillId="0" borderId="0" xfId="0" applyNumberFormat="1" applyFont="1" applyAlignment="1">
      <alignment horizontal="center"/>
    </xf>
    <xf numFmtId="169" fontId="13" fillId="0" borderId="0" xfId="0" applyNumberFormat="1" applyFont="1" applyAlignment="1">
      <alignment horizontal="center"/>
    </xf>
    <xf numFmtId="175" fontId="19" fillId="0" borderId="0" xfId="0" applyNumberFormat="1" applyFont="1"/>
    <xf numFmtId="164" fontId="7" fillId="12" borderId="0" xfId="0" applyNumberFormat="1" applyFont="1" applyFill="1" applyAlignment="1">
      <alignment horizontal="center"/>
    </xf>
    <xf numFmtId="165" fontId="7" fillId="0" borderId="1" xfId="0" applyNumberFormat="1" applyFont="1" applyBorder="1" applyAlignment="1">
      <alignment horizontal="center"/>
    </xf>
    <xf numFmtId="169" fontId="7" fillId="0" borderId="1" xfId="0" applyNumberFormat="1" applyFont="1" applyBorder="1" applyAlignment="1">
      <alignment horizontal="center"/>
    </xf>
    <xf numFmtId="0" fontId="20" fillId="0" borderId="0" xfId="0" applyFont="1"/>
    <xf numFmtId="164" fontId="11" fillId="0" borderId="0" xfId="0" applyNumberFormat="1" applyFont="1" applyAlignment="1">
      <alignment horizontal="center"/>
    </xf>
    <xf numFmtId="3" fontId="11" fillId="0" borderId="0" xfId="0" applyNumberFormat="1" applyFont="1" applyAlignment="1">
      <alignment horizontal="center"/>
    </xf>
    <xf numFmtId="10" fontId="12" fillId="0" borderId="0" xfId="0" applyNumberFormat="1" applyFont="1" applyAlignment="1">
      <alignment horizontal="center"/>
    </xf>
    <xf numFmtId="171" fontId="12" fillId="0" borderId="0" xfId="0" applyNumberFormat="1" applyFont="1" applyAlignment="1">
      <alignment horizontal="center"/>
    </xf>
    <xf numFmtId="1" fontId="11" fillId="0" borderId="0" xfId="0" applyNumberFormat="1" applyFont="1" applyAlignment="1">
      <alignment horizontal="center"/>
    </xf>
    <xf numFmtId="0" fontId="12" fillId="9" borderId="0" xfId="0" applyFont="1" applyFill="1" applyAlignment="1">
      <alignment horizontal="center"/>
    </xf>
    <xf numFmtId="4" fontId="12" fillId="0" borderId="0" xfId="0" applyNumberFormat="1" applyFont="1" applyAlignment="1">
      <alignment horizontal="center"/>
    </xf>
    <xf numFmtId="165" fontId="11" fillId="0" borderId="0" xfId="0" applyNumberFormat="1" applyFont="1" applyAlignment="1">
      <alignment horizontal="center"/>
    </xf>
    <xf numFmtId="175" fontId="0" fillId="0" borderId="0" xfId="0" applyNumberFormat="1" applyAlignment="1">
      <alignment horizontal="center"/>
    </xf>
    <xf numFmtId="168" fontId="11" fillId="0" borderId="0" xfId="0" applyNumberFormat="1" applyFont="1" applyAlignment="1">
      <alignment horizontal="center"/>
    </xf>
    <xf numFmtId="168" fontId="12" fillId="0" borderId="0" xfId="0" applyNumberFormat="1" applyFont="1" applyAlignment="1">
      <alignment horizontal="center"/>
    </xf>
    <xf numFmtId="0" fontId="17" fillId="0" borderId="0" xfId="0" applyFont="1" applyAlignment="1">
      <alignment horizontal="center"/>
    </xf>
    <xf numFmtId="2" fontId="13" fillId="0" borderId="0" xfId="0" applyNumberFormat="1" applyFont="1" applyAlignment="1">
      <alignment horizontal="center"/>
    </xf>
    <xf numFmtId="0" fontId="5" fillId="14" borderId="0" xfId="0" applyFont="1" applyFill="1"/>
    <xf numFmtId="0" fontId="0" fillId="14" borderId="0" xfId="0" applyFill="1"/>
    <xf numFmtId="0" fontId="5" fillId="14" borderId="0" xfId="0" applyFont="1" applyFill="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167" fontId="3" fillId="0" borderId="0" xfId="0" applyNumberFormat="1" applyFont="1" applyAlignment="1">
      <alignment horizontal="center"/>
    </xf>
    <xf numFmtId="167" fontId="12" fillId="0" borderId="0" xfId="0" applyNumberFormat="1" applyFont="1" applyAlignment="1">
      <alignment horizontal="center"/>
    </xf>
    <xf numFmtId="165" fontId="12" fillId="0" borderId="0" xfId="0" applyNumberFormat="1" applyFont="1" applyAlignment="1">
      <alignment horizontal="center"/>
    </xf>
    <xf numFmtId="0" fontId="21" fillId="0" borderId="0" xfId="0" applyFont="1"/>
    <xf numFmtId="0" fontId="5" fillId="15" borderId="0" xfId="0" applyFont="1" applyFill="1"/>
    <xf numFmtId="0" fontId="7" fillId="16" borderId="0" xfId="0" applyFont="1" applyFill="1"/>
    <xf numFmtId="10" fontId="0" fillId="0" borderId="0" xfId="0" applyNumberFormat="1" applyAlignment="1">
      <alignment horizontal="center"/>
    </xf>
    <xf numFmtId="172" fontId="0" fillId="0" borderId="0" xfId="0" applyNumberFormat="1" applyAlignment="1">
      <alignment horizontal="center"/>
    </xf>
    <xf numFmtId="0" fontId="13" fillId="16" borderId="0" xfId="0" applyFont="1" applyFill="1" applyAlignment="1">
      <alignment horizontal="center"/>
    </xf>
    <xf numFmtId="10" fontId="7" fillId="16" borderId="0" xfId="0" applyNumberFormat="1" applyFont="1" applyFill="1" applyAlignment="1">
      <alignment horizontal="center"/>
    </xf>
    <xf numFmtId="175" fontId="7" fillId="16" borderId="0" xfId="0" applyNumberFormat="1" applyFont="1" applyFill="1" applyAlignment="1">
      <alignment horizontal="center"/>
    </xf>
    <xf numFmtId="175" fontId="7" fillId="0" borderId="0" xfId="0" applyNumberFormat="1" applyFont="1" applyAlignment="1">
      <alignment horizontal="center"/>
    </xf>
    <xf numFmtId="0" fontId="21" fillId="17" borderId="0" xfId="0" applyFont="1" applyFill="1"/>
  </cellXfs>
  <cellStyles count="1">
    <cellStyle name="Normal" xfId="0" builtinId="0"/>
  </cellStyles>
  <dxfs count="1">
    <dxf>
      <font>
        <color rgb="FF9C0006"/>
      </font>
      <fill>
        <patternFill patternType="solid">
          <fgColor indexed="64"/>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CFADS vs total debt service (USD 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Outputs!$B$42</c:f>
              <c:strCache>
                <c:ptCount val="1"/>
                <c:pt idx="0">
                  <c:v>CFADS</c:v>
                </c:pt>
              </c:strCache>
            </c:strRef>
          </c:tx>
          <c:spPr>
            <a:solidFill>
              <a:srgbClr val="2E75B6"/>
            </a:solidFill>
            <a:ln>
              <a:noFill/>
            </a:ln>
            <a:effectLst/>
          </c:spPr>
          <c:invertIfNegative val="0"/>
          <c:cat>
            <c:numRef>
              <c:f>Outputs!$A$43:$A$62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Outputs!$B$43:$B$62</c:f>
              <c:numCache>
                <c:formatCode>0.00</c:formatCode>
                <c:ptCount val="20"/>
                <c:pt idx="0">
                  <c:v>4.8889499999999995</c:v>
                </c:pt>
                <c:pt idx="1">
                  <c:v>4.9361842499999984</c:v>
                </c:pt>
                <c:pt idx="2">
                  <c:v>4.983749013749998</c:v>
                </c:pt>
                <c:pt idx="3">
                  <c:v>5.031637908956248</c:v>
                </c:pt>
                <c:pt idx="4">
                  <c:v>5.0798441173905902</c:v>
                </c:pt>
                <c:pt idx="5">
                  <c:v>5.128360368145449</c:v>
                </c:pt>
                <c:pt idx="6">
                  <c:v>5.1771789203314498</c:v>
                </c:pt>
                <c:pt idx="7">
                  <c:v>5.2262915452001542</c:v>
                </c:pt>
                <c:pt idx="8">
                  <c:v>5.2756895076738033</c:v>
                </c:pt>
                <c:pt idx="9">
                  <c:v>5.3253635472634251</c:v>
                </c:pt>
                <c:pt idx="10">
                  <c:v>5.3753038583561281</c:v>
                </c:pt>
                <c:pt idx="11">
                  <c:v>5.4255000698517328</c:v>
                </c:pt>
                <c:pt idx="12">
                  <c:v>5.4759412241283805</c:v>
                </c:pt>
                <c:pt idx="13">
                  <c:v>5.526615755316044</c:v>
                </c:pt>
                <c:pt idx="14">
                  <c:v>5.5775114668562926</c:v>
                </c:pt>
                <c:pt idx="15">
                  <c:v>5.6286155083259626</c:v>
                </c:pt>
                <c:pt idx="16">
                  <c:v>5.6799143515016812</c:v>
                </c:pt>
                <c:pt idx="17">
                  <c:v>5.7313937656415614</c:v>
                </c:pt>
                <c:pt idx="18">
                  <c:v>5.7830387919595605</c:v>
                </c:pt>
                <c:pt idx="19">
                  <c:v>5.8348337172673297</c:v>
                </c:pt>
              </c:numCache>
            </c:numRef>
          </c:val>
          <c:extLst>
            <c:ext xmlns:c16="http://schemas.microsoft.com/office/drawing/2014/chart" uri="{C3380CC4-5D6E-409C-BE32-E72D297353CC}">
              <c16:uniqueId val="{00000002-C783-4BB9-996F-9AAB3448E634}"/>
            </c:ext>
          </c:extLst>
        </c:ser>
        <c:ser>
          <c:idx val="2"/>
          <c:order val="1"/>
          <c:tx>
            <c:strRef>
              <c:f>Outputs!$C$42</c:f>
              <c:strCache>
                <c:ptCount val="1"/>
                <c:pt idx="0">
                  <c:v>Total debt service</c:v>
                </c:pt>
              </c:strCache>
            </c:strRef>
          </c:tx>
          <c:spPr>
            <a:solidFill>
              <a:srgbClr val="C55A11"/>
            </a:solidFill>
            <a:ln>
              <a:noFill/>
            </a:ln>
            <a:effectLst/>
          </c:spPr>
          <c:invertIfNegative val="0"/>
          <c:cat>
            <c:numRef>
              <c:f>Outputs!$A$43:$A$62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Outputs!$C$43:$C$62</c:f>
              <c:numCache>
                <c:formatCode>0.00</c:formatCode>
                <c:ptCount val="20"/>
                <c:pt idx="0">
                  <c:v>4.324840384615384</c:v>
                </c:pt>
                <c:pt idx="1">
                  <c:v>4.3666245288461525</c:v>
                </c:pt>
                <c:pt idx="2">
                  <c:v>4.4087010506249982</c:v>
                </c:pt>
                <c:pt idx="3">
                  <c:v>4.4510643040766809</c:v>
                </c:pt>
                <c:pt idx="4">
                  <c:v>4.4937082576916758</c:v>
                </c:pt>
                <c:pt idx="5">
                  <c:v>4.5366264795132825</c:v>
                </c:pt>
                <c:pt idx="6">
                  <c:v>4.579812121831667</c:v>
                </c:pt>
                <c:pt idx="7">
                  <c:v>4.6232579053693676</c:v>
                </c:pt>
                <c:pt idx="8">
                  <c:v>4.6669561029422102</c:v>
                </c:pt>
                <c:pt idx="9">
                  <c:v>4.7108985225791837</c:v>
                </c:pt>
                <c:pt idx="10">
                  <c:v>4.7550764900842672</c:v>
                </c:pt>
                <c:pt idx="11">
                  <c:v>4.5601754366033083</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4-C783-4BB9-996F-9AAB3448E634}"/>
            </c:ext>
          </c:extLst>
        </c:ser>
        <c:dLbls>
          <c:showLegendKey val="0"/>
          <c:showVal val="0"/>
          <c:showCatName val="0"/>
          <c:showSerName val="0"/>
          <c:showPercent val="0"/>
          <c:showBubbleSize val="0"/>
        </c:dLbls>
        <c:gapWidth val="219"/>
        <c:overlap val="-27"/>
        <c:axId val="900783624"/>
        <c:axId val="361125895"/>
      </c:barChart>
      <c:catAx>
        <c:axId val="900783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25895"/>
        <c:crosses val="autoZero"/>
        <c:auto val="1"/>
        <c:lblAlgn val="ctr"/>
        <c:lblOffset val="100"/>
        <c:noMultiLvlLbl val="0"/>
      </c:catAx>
      <c:valAx>
        <c:axId val="361125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83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Senior debt outstanding (USD 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Outputs!$J$42</c:f>
              <c:strCache>
                <c:ptCount val="1"/>
                <c:pt idx="0">
                  <c:v>Senior debt outstanding</c:v>
                </c:pt>
              </c:strCache>
            </c:strRef>
          </c:tx>
          <c:spPr>
            <a:ln w="31750" cap="rnd">
              <a:solidFill>
                <a:srgbClr val="C55A11"/>
              </a:solidFill>
              <a:prstDash val="solid"/>
              <a:round/>
            </a:ln>
            <a:effectLst/>
          </c:spPr>
          <c:marker>
            <c:symbol val="none"/>
          </c:marker>
          <c:cat>
            <c:numRef>
              <c:f>Outputs!$I$43:$I$62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Outputs!$J$43:$J$62</c:f>
              <c:numCache>
                <c:formatCode>0.00</c:formatCode>
                <c:ptCount val="20"/>
                <c:pt idx="0">
                  <c:v>32.366901154048541</c:v>
                </c:pt>
                <c:pt idx="1">
                  <c:v>30.589628717526274</c:v>
                </c:pt>
                <c:pt idx="2">
                  <c:v>28.628097964303379</c:v>
                </c:pt>
                <c:pt idx="3">
                  <c:v>26.467281497370969</c:v>
                </c:pt>
                <c:pt idx="4">
                  <c:v>24.090955759468972</c:v>
                </c:pt>
                <c:pt idx="5">
                  <c:v>21.481605740713206</c:v>
                </c:pt>
                <c:pt idx="6">
                  <c:v>18.620322078138596</c:v>
                </c:pt>
                <c:pt idx="7">
                  <c:v>15.486689939020316</c:v>
                </c:pt>
                <c:pt idx="8">
                  <c:v>12.058669031199731</c:v>
                </c:pt>
                <c:pt idx="9">
                  <c:v>8.3124640311165265</c:v>
                </c:pt>
                <c:pt idx="10">
                  <c:v>4.2223846635215816</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2BC2-42A9-8A93-06BB173180B6}"/>
            </c:ext>
          </c:extLst>
        </c:ser>
        <c:dLbls>
          <c:showLegendKey val="0"/>
          <c:showVal val="0"/>
          <c:showCatName val="0"/>
          <c:showSerName val="0"/>
          <c:showPercent val="0"/>
          <c:showBubbleSize val="0"/>
        </c:dLbls>
        <c:smooth val="0"/>
        <c:axId val="1537024007"/>
        <c:axId val="1537030151"/>
      </c:lineChart>
      <c:catAx>
        <c:axId val="1537024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30151"/>
        <c:crosses val="autoZero"/>
        <c:auto val="1"/>
        <c:lblAlgn val="ctr"/>
        <c:lblOffset val="100"/>
        <c:noMultiLvlLbl val="0"/>
      </c:catAx>
      <c:valAx>
        <c:axId val="1537030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24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DSCR profile vs the 1.30x covenant floor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Outputs!$F$42</c:f>
              <c:strCache>
                <c:ptCount val="1"/>
                <c:pt idx="0">
                  <c:v>DSCR (scheduled)</c:v>
                </c:pt>
              </c:strCache>
            </c:strRef>
          </c:tx>
          <c:spPr>
            <a:ln w="38100" cap="rnd">
              <a:solidFill>
                <a:srgbClr val="2E75B6"/>
              </a:solidFill>
              <a:prstDash val="solid"/>
              <a:round/>
            </a:ln>
            <a:effectLst/>
          </c:spPr>
          <c:marker>
            <c:symbol val="none"/>
          </c:marker>
          <c:cat>
            <c:numRef>
              <c:f>Outputs!$E$43:$E$62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Outputs!$F$43:$F$62</c:f>
              <c:numCache>
                <c:formatCode>0.00</c:formatCode>
                <c:ptCount val="20"/>
                <c:pt idx="0">
                  <c:v>1.3</c:v>
                </c:pt>
                <c:pt idx="1">
                  <c:v>1.3</c:v>
                </c:pt>
                <c:pt idx="2">
                  <c:v>1.3</c:v>
                </c:pt>
                <c:pt idx="3">
                  <c:v>1.3</c:v>
                </c:pt>
                <c:pt idx="4">
                  <c:v>1.3</c:v>
                </c:pt>
                <c:pt idx="5">
                  <c:v>1.3</c:v>
                </c:pt>
                <c:pt idx="6">
                  <c:v>1.3</c:v>
                </c:pt>
                <c:pt idx="7">
                  <c:v>1.3</c:v>
                </c:pt>
                <c:pt idx="8">
                  <c:v>1.3</c:v>
                </c:pt>
                <c:pt idx="9">
                  <c:v>1.3</c:v>
                </c:pt>
                <c:pt idx="10">
                  <c:v>1.3</c:v>
                </c:pt>
                <c:pt idx="11">
                  <c:v>1.3</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2-8515-4871-ABC2-4A1A6F4E3D9E}"/>
            </c:ext>
          </c:extLst>
        </c:ser>
        <c:ser>
          <c:idx val="2"/>
          <c:order val="1"/>
          <c:tx>
            <c:strRef>
              <c:f>Outputs!$G$42</c:f>
              <c:strCache>
                <c:ptCount val="1"/>
                <c:pt idx="0">
                  <c:v>Covenant floor</c:v>
                </c:pt>
              </c:strCache>
            </c:strRef>
          </c:tx>
          <c:spPr>
            <a:ln w="25400" cap="rnd">
              <a:solidFill>
                <a:srgbClr val="C00000"/>
              </a:solidFill>
              <a:prstDash val="dash"/>
              <a:round/>
            </a:ln>
            <a:effectLst/>
          </c:spPr>
          <c:marker>
            <c:symbol val="none"/>
          </c:marker>
          <c:cat>
            <c:numRef>
              <c:f>Outputs!$E$43:$E$62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Outputs!$G$43:$G$62</c:f>
              <c:numCache>
                <c:formatCode>0.00</c:formatCode>
                <c:ptCount val="20"/>
                <c:pt idx="0">
                  <c:v>1.3</c:v>
                </c:pt>
                <c:pt idx="1">
                  <c:v>1.3</c:v>
                </c:pt>
                <c:pt idx="2">
                  <c:v>1.3</c:v>
                </c:pt>
                <c:pt idx="3">
                  <c:v>1.3</c:v>
                </c:pt>
                <c:pt idx="4">
                  <c:v>1.3</c:v>
                </c:pt>
                <c:pt idx="5">
                  <c:v>1.3</c:v>
                </c:pt>
                <c:pt idx="6">
                  <c:v>1.3</c:v>
                </c:pt>
                <c:pt idx="7">
                  <c:v>1.3</c:v>
                </c:pt>
                <c:pt idx="8">
                  <c:v>1.3</c:v>
                </c:pt>
                <c:pt idx="9">
                  <c:v>1.3</c:v>
                </c:pt>
                <c:pt idx="10">
                  <c:v>1.3</c:v>
                </c:pt>
                <c:pt idx="11">
                  <c:v>1.3</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4-8515-4871-ABC2-4A1A6F4E3D9E}"/>
            </c:ext>
          </c:extLst>
        </c:ser>
        <c:ser>
          <c:idx val="3"/>
          <c:order val="2"/>
          <c:tx>
            <c:strRef>
              <c:f>Outputs!$H$42</c:f>
              <c:strCache>
                <c:ptCount val="1"/>
                <c:pt idx="0">
                  <c:v>DSCR incl. cash sweep</c:v>
                </c:pt>
              </c:strCache>
            </c:strRef>
          </c:tx>
          <c:spPr>
            <a:ln w="25400" cap="rnd">
              <a:solidFill>
                <a:srgbClr val="7F7F7F"/>
              </a:solidFill>
              <a:prstDash val="solid"/>
              <a:round/>
            </a:ln>
            <a:effectLst/>
          </c:spPr>
          <c:marker>
            <c:symbol val="none"/>
          </c:marker>
          <c:cat>
            <c:numRef>
              <c:f>Outputs!$E$43:$E$62</c:f>
              <c:numCache>
                <c:formatCode>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Outputs!$H$43:$H$62</c:f>
              <c:numCache>
                <c:formatCode>0.00</c:formatCode>
                <c:ptCount val="20"/>
                <c:pt idx="0">
                  <c:v>1.1304347826086958</c:v>
                </c:pt>
                <c:pt idx="1">
                  <c:v>1.1304347826086956</c:v>
                </c:pt>
                <c:pt idx="2">
                  <c:v>1.1304347826086956</c:v>
                </c:pt>
                <c:pt idx="3">
                  <c:v>1.1304347826086956</c:v>
                </c:pt>
                <c:pt idx="4">
                  <c:v>1.1304347826086958</c:v>
                </c:pt>
                <c:pt idx="5">
                  <c:v>1.1304347826086956</c:v>
                </c:pt>
                <c:pt idx="6">
                  <c:v>1.1304347826086958</c:v>
                </c:pt>
                <c:pt idx="7">
                  <c:v>1.1304347826086956</c:v>
                </c:pt>
                <c:pt idx="8">
                  <c:v>1.1304347826086958</c:v>
                </c:pt>
                <c:pt idx="9">
                  <c:v>1.1304347826086956</c:v>
                </c:pt>
                <c:pt idx="10">
                  <c:v>1.1304347826086956</c:v>
                </c:pt>
                <c:pt idx="11">
                  <c:v>1.1897568734533095</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6-8515-4871-ABC2-4A1A6F4E3D9E}"/>
            </c:ext>
          </c:extLst>
        </c:ser>
        <c:dLbls>
          <c:showLegendKey val="0"/>
          <c:showVal val="0"/>
          <c:showCatName val="0"/>
          <c:showSerName val="0"/>
          <c:showPercent val="0"/>
          <c:showBubbleSize val="0"/>
        </c:dLbls>
        <c:smooth val="0"/>
        <c:axId val="283294728"/>
        <c:axId val="283307528"/>
      </c:lineChart>
      <c:catAx>
        <c:axId val="283294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07528"/>
        <c:crosses val="autoZero"/>
        <c:auto val="1"/>
        <c:lblAlgn val="ctr"/>
        <c:lblOffset val="100"/>
        <c:noMultiLvlLbl val="0"/>
      </c:catAx>
      <c:valAx>
        <c:axId val="283307528"/>
        <c:scaling>
          <c:orientation val="minMax"/>
          <c:max val="1.4"/>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DSCR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94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247650</xdr:colOff>
      <xdr:row>2</xdr:row>
      <xdr:rowOff>171450</xdr:rowOff>
    </xdr:from>
    <xdr:to>
      <xdr:col>8</xdr:col>
      <xdr:colOff>809625</xdr:colOff>
      <xdr:row>19</xdr:row>
      <xdr:rowOff>104775</xdr:rowOff>
    </xdr:to>
    <xdr:graphicFrame macro="">
      <xdr:nvGraphicFramePr>
        <xdr:cNvPr id="2" name="CFADS_DS">
          <a:extLst>
            <a:ext uri="{FF2B5EF4-FFF2-40B4-BE49-F238E27FC236}">
              <a16:creationId xmlns:a16="http://schemas.microsoft.com/office/drawing/2014/main" id="{68F6311A-04D2-62CE-9AC0-C000B3820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123825</xdr:colOff>
      <xdr:row>2</xdr:row>
      <xdr:rowOff>171450</xdr:rowOff>
    </xdr:from>
    <xdr:to>
      <xdr:col>25</xdr:col>
      <xdr:colOff>28575</xdr:colOff>
      <xdr:row>19</xdr:row>
      <xdr:rowOff>104775</xdr:rowOff>
    </xdr:to>
    <xdr:graphicFrame macro="">
      <xdr:nvGraphicFramePr>
        <xdr:cNvPr id="4" name="DebtBal">
          <a:extLst>
            <a:ext uri="{FF2B5EF4-FFF2-40B4-BE49-F238E27FC236}">
              <a16:creationId xmlns:a16="http://schemas.microsoft.com/office/drawing/2014/main" id="{62EA21A5-1A27-BE26-95F7-6F58C4266102}"/>
            </a:ext>
            <a:ext uri="{147F2762-F138-4A5C-976F-8EAC2B608ADB}">
              <a16:predDERef xmlns:a16="http://schemas.microsoft.com/office/drawing/2014/main" pred="{68F6311A-04D2-62CE-9AC0-C000B3820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1009650</xdr:colOff>
      <xdr:row>2</xdr:row>
      <xdr:rowOff>171450</xdr:rowOff>
    </xdr:from>
    <xdr:to>
      <xdr:col>15</xdr:col>
      <xdr:colOff>533400</xdr:colOff>
      <xdr:row>19</xdr:row>
      <xdr:rowOff>104775</xdr:rowOff>
    </xdr:to>
    <xdr:graphicFrame macro="">
      <xdr:nvGraphicFramePr>
        <xdr:cNvPr id="5" name="DSCR">
          <a:extLst>
            <a:ext uri="{FF2B5EF4-FFF2-40B4-BE49-F238E27FC236}">
              <a16:creationId xmlns:a16="http://schemas.microsoft.com/office/drawing/2014/main" id="{316B60D0-3C99-F67C-A1C4-303665B543F0}"/>
            </a:ext>
            <a:ext uri="{147F2762-F138-4A5C-976F-8EAC2B608ADB}">
              <a16:predDERef xmlns:a16="http://schemas.microsoft.com/office/drawing/2014/main" pred="{62EA21A5-1A27-BE26-95F7-6F58C4266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748642C-03EC-4DFF-A57B-490E9797CEA6}">
  <we:reference id="WA200010725" version="1.0.0.1" store="en-us" storeType="omex"/>
  <we:alternateReferences>
    <we:reference id="WA200010725" version="1.0.0.1" store="en-us" storeType="omex"/>
  </we:alternateReferences>
  <we:properties>
    <we:property name="claude.fileId" value="&quot;e6af1378-4319-4212-a78f-28efc52d818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D6B8-61C2-4E21-B627-4FE520B05083}">
  <sheetPr>
    <tabColor rgb="FF1F3864"/>
    <pageSetUpPr fitToPage="1"/>
  </sheetPr>
  <dimension ref="A1:D57"/>
  <sheetViews>
    <sheetView workbookViewId="0">
      <selection activeCell="B45" sqref="B45"/>
    </sheetView>
  </sheetViews>
  <sheetFormatPr defaultRowHeight="14.4" x14ac:dyDescent="0.3"/>
  <cols>
    <col min="1" max="1" width="49.5546875" customWidth="1"/>
    <col min="2" max="2" width="17.109375" customWidth="1"/>
    <col min="3" max="3" width="14.33203125" customWidth="1"/>
    <col min="4" max="4" width="80" customWidth="1"/>
  </cols>
  <sheetData>
    <row r="1" spans="1:4" ht="21" x14ac:dyDescent="0.4">
      <c r="A1" s="1" t="s">
        <v>306</v>
      </c>
    </row>
    <row r="2" spans="1:4" x14ac:dyDescent="0.3">
      <c r="A2" s="2" t="s">
        <v>0</v>
      </c>
    </row>
    <row r="3" spans="1:4" x14ac:dyDescent="0.3">
      <c r="A3" s="3" t="s">
        <v>1</v>
      </c>
    </row>
    <row r="4" spans="1:4" x14ac:dyDescent="0.3">
      <c r="A4" s="3" t="s">
        <v>2</v>
      </c>
    </row>
    <row r="6" spans="1:4" x14ac:dyDescent="0.3">
      <c r="A6" s="4" t="s">
        <v>3</v>
      </c>
      <c r="B6" s="5" t="s">
        <v>4</v>
      </c>
      <c r="C6" s="5" t="s">
        <v>5</v>
      </c>
      <c r="D6" s="4" t="s">
        <v>6</v>
      </c>
    </row>
    <row r="7" spans="1:4" x14ac:dyDescent="0.3">
      <c r="A7" t="s">
        <v>7</v>
      </c>
      <c r="B7" s="6">
        <v>50</v>
      </c>
      <c r="C7" s="7" t="s">
        <v>8</v>
      </c>
      <c r="D7" t="s">
        <v>9</v>
      </c>
    </row>
    <row r="8" spans="1:4" x14ac:dyDescent="0.3">
      <c r="A8" t="s">
        <v>10</v>
      </c>
      <c r="B8" s="8">
        <v>8760</v>
      </c>
      <c r="C8" s="7" t="s">
        <v>11</v>
      </c>
      <c r="D8" t="s">
        <v>12</v>
      </c>
    </row>
    <row r="9" spans="1:4" x14ac:dyDescent="0.3">
      <c r="A9" t="s">
        <v>13</v>
      </c>
      <c r="B9" s="9">
        <v>0.21</v>
      </c>
      <c r="C9" s="7" t="s">
        <v>14</v>
      </c>
      <c r="D9" t="s">
        <v>15</v>
      </c>
    </row>
    <row r="10" spans="1:4" x14ac:dyDescent="0.3">
      <c r="A10" t="s">
        <v>16</v>
      </c>
      <c r="B10" s="10">
        <f>B7*1000*B8/1000000</f>
        <v>438</v>
      </c>
      <c r="C10" s="7" t="s">
        <v>17</v>
      </c>
      <c r="D10" s="11" t="s">
        <v>18</v>
      </c>
    </row>
    <row r="11" spans="1:4" x14ac:dyDescent="0.3">
      <c r="A11" s="12" t="s">
        <v>19</v>
      </c>
      <c r="B11" s="26">
        <f>B10*B9</f>
        <v>91.97999999999999</v>
      </c>
      <c r="C11" s="7" t="s">
        <v>17</v>
      </c>
      <c r="D11" s="11" t="s">
        <v>20</v>
      </c>
    </row>
    <row r="12" spans="1:4" x14ac:dyDescent="0.3">
      <c r="A12" t="s">
        <v>19</v>
      </c>
      <c r="B12" s="13">
        <f>B11*1000000</f>
        <v>91979999.999999985</v>
      </c>
      <c r="C12" s="7" t="s">
        <v>21</v>
      </c>
      <c r="D12" t="s">
        <v>22</v>
      </c>
    </row>
    <row r="14" spans="1:4" x14ac:dyDescent="0.3">
      <c r="A14" s="4" t="s">
        <v>23</v>
      </c>
      <c r="B14" s="5" t="s">
        <v>4</v>
      </c>
      <c r="C14" s="5" t="s">
        <v>5</v>
      </c>
      <c r="D14" s="4" t="s">
        <v>6</v>
      </c>
    </row>
    <row r="15" spans="1:4" x14ac:dyDescent="0.3">
      <c r="A15" t="s">
        <v>24</v>
      </c>
      <c r="B15" s="14">
        <v>60</v>
      </c>
      <c r="C15" s="7" t="s">
        <v>25</v>
      </c>
      <c r="D15" t="s">
        <v>26</v>
      </c>
    </row>
    <row r="16" spans="1:4" x14ac:dyDescent="0.3">
      <c r="A16" t="s">
        <v>27</v>
      </c>
      <c r="B16" s="15">
        <f>B15/B7</f>
        <v>1.2</v>
      </c>
      <c r="C16" s="7" t="s">
        <v>28</v>
      </c>
      <c r="D16" t="s">
        <v>29</v>
      </c>
    </row>
    <row r="17" spans="1:4" x14ac:dyDescent="0.3">
      <c r="A17" t="s">
        <v>30</v>
      </c>
      <c r="B17" s="8">
        <v>12</v>
      </c>
      <c r="C17" s="7" t="s">
        <v>31</v>
      </c>
      <c r="D17" t="s">
        <v>32</v>
      </c>
    </row>
    <row r="18" spans="1:4" x14ac:dyDescent="0.3">
      <c r="A18" t="s">
        <v>33</v>
      </c>
      <c r="B18" s="16">
        <v>46023</v>
      </c>
      <c r="C18" s="7" t="s">
        <v>34</v>
      </c>
      <c r="D18" t="s">
        <v>35</v>
      </c>
    </row>
    <row r="19" spans="1:4" x14ac:dyDescent="0.3">
      <c r="A19" t="s">
        <v>36</v>
      </c>
      <c r="B19" s="16">
        <v>46388</v>
      </c>
      <c r="C19" s="7" t="s">
        <v>34</v>
      </c>
      <c r="D19" t="s">
        <v>37</v>
      </c>
    </row>
    <row r="20" spans="1:4" x14ac:dyDescent="0.3">
      <c r="A20" t="s">
        <v>38</v>
      </c>
      <c r="B20" s="8">
        <v>20</v>
      </c>
      <c r="C20" s="7" t="s">
        <v>39</v>
      </c>
      <c r="D20" t="s">
        <v>40</v>
      </c>
    </row>
    <row r="22" spans="1:4" x14ac:dyDescent="0.3">
      <c r="A22" s="4" t="s">
        <v>41</v>
      </c>
      <c r="B22" s="5" t="s">
        <v>4</v>
      </c>
      <c r="C22" s="5" t="s">
        <v>5</v>
      </c>
      <c r="D22" s="4" t="s">
        <v>6</v>
      </c>
    </row>
    <row r="23" spans="1:4" x14ac:dyDescent="0.3">
      <c r="A23" t="s">
        <v>42</v>
      </c>
      <c r="B23" s="17">
        <v>7.4999999999999997E-2</v>
      </c>
      <c r="C23" s="7" t="s">
        <v>43</v>
      </c>
      <c r="D23" t="s">
        <v>44</v>
      </c>
    </row>
    <row r="24" spans="1:4" x14ac:dyDescent="0.3">
      <c r="A24" t="s">
        <v>45</v>
      </c>
      <c r="B24" s="18">
        <v>1.4999999999999999E-2</v>
      </c>
      <c r="C24" s="7" t="s">
        <v>46</v>
      </c>
      <c r="D24" t="s">
        <v>47</v>
      </c>
    </row>
    <row r="25" spans="1:4" x14ac:dyDescent="0.3">
      <c r="A25" t="s">
        <v>48</v>
      </c>
      <c r="B25" s="15">
        <f>B12*B23/1000000</f>
        <v>6.8984999999999994</v>
      </c>
      <c r="C25" s="7" t="s">
        <v>25</v>
      </c>
      <c r="D25" t="s">
        <v>49</v>
      </c>
    </row>
    <row r="26" spans="1:4" x14ac:dyDescent="0.3">
      <c r="A26" t="s">
        <v>50</v>
      </c>
      <c r="B26" s="19">
        <v>1.2</v>
      </c>
      <c r="C26" s="7" t="s">
        <v>25</v>
      </c>
      <c r="D26" t="s">
        <v>51</v>
      </c>
    </row>
    <row r="27" spans="1:4" x14ac:dyDescent="0.3">
      <c r="A27" t="s">
        <v>52</v>
      </c>
      <c r="B27" s="18">
        <v>0.03</v>
      </c>
      <c r="C27" s="7" t="s">
        <v>46</v>
      </c>
      <c r="D27" t="s">
        <v>53</v>
      </c>
    </row>
    <row r="28" spans="1:4" x14ac:dyDescent="0.3">
      <c r="A28" t="s">
        <v>54</v>
      </c>
      <c r="B28" s="20">
        <f>(B25-B26)/B25</f>
        <v>0.82604914111763428</v>
      </c>
      <c r="C28" s="7" t="s">
        <v>14</v>
      </c>
      <c r="D28" t="s">
        <v>55</v>
      </c>
    </row>
    <row r="30" spans="1:4" x14ac:dyDescent="0.3">
      <c r="A30" s="4" t="s">
        <v>56</v>
      </c>
      <c r="B30" s="5" t="s">
        <v>4</v>
      </c>
      <c r="C30" s="5" t="s">
        <v>5</v>
      </c>
      <c r="D30" s="4" t="s">
        <v>6</v>
      </c>
    </row>
    <row r="31" spans="1:4" x14ac:dyDescent="0.3">
      <c r="A31" t="s">
        <v>57</v>
      </c>
      <c r="B31" s="8">
        <v>20</v>
      </c>
      <c r="C31" s="7" t="s">
        <v>39</v>
      </c>
      <c r="D31" t="s">
        <v>58</v>
      </c>
    </row>
    <row r="32" spans="1:4" x14ac:dyDescent="0.3">
      <c r="A32" t="s">
        <v>59</v>
      </c>
      <c r="B32" s="15">
        <f>B15/B31</f>
        <v>3</v>
      </c>
      <c r="C32" s="7" t="s">
        <v>25</v>
      </c>
      <c r="D32" s="11" t="s">
        <v>60</v>
      </c>
    </row>
    <row r="33" spans="1:4" x14ac:dyDescent="0.3">
      <c r="A33" t="s">
        <v>61</v>
      </c>
      <c r="B33" s="18">
        <v>0.3</v>
      </c>
      <c r="C33" s="7" t="s">
        <v>14</v>
      </c>
      <c r="D33" t="s">
        <v>62</v>
      </c>
    </row>
    <row r="34" spans="1:4" x14ac:dyDescent="0.3">
      <c r="A34" t="s">
        <v>63</v>
      </c>
      <c r="B34" s="9">
        <v>0.1</v>
      </c>
      <c r="C34" s="7" t="s">
        <v>14</v>
      </c>
      <c r="D34" t="s">
        <v>64</v>
      </c>
    </row>
    <row r="36" spans="1:4" x14ac:dyDescent="0.3">
      <c r="A36" s="21" t="s">
        <v>309</v>
      </c>
      <c r="B36" s="22" t="s">
        <v>4</v>
      </c>
      <c r="C36" s="22" t="s">
        <v>5</v>
      </c>
      <c r="D36" s="21" t="s">
        <v>6</v>
      </c>
    </row>
    <row r="37" spans="1:4" x14ac:dyDescent="0.3">
      <c r="A37" t="s">
        <v>65</v>
      </c>
      <c r="B37" s="18">
        <v>0.7</v>
      </c>
      <c r="C37" s="7" t="s">
        <v>14</v>
      </c>
      <c r="D37" t="s">
        <v>310</v>
      </c>
    </row>
    <row r="38" spans="1:4" x14ac:dyDescent="0.3">
      <c r="A38" t="s">
        <v>66</v>
      </c>
      <c r="B38" s="8">
        <v>15</v>
      </c>
      <c r="C38" s="7" t="s">
        <v>39</v>
      </c>
      <c r="D38" t="s">
        <v>311</v>
      </c>
    </row>
    <row r="39" spans="1:4" x14ac:dyDescent="0.3">
      <c r="A39" t="s">
        <v>67</v>
      </c>
      <c r="B39" s="9">
        <v>0.08</v>
      </c>
      <c r="C39" s="7" t="s">
        <v>46</v>
      </c>
      <c r="D39" t="s">
        <v>312</v>
      </c>
    </row>
    <row r="40" spans="1:4" x14ac:dyDescent="0.3">
      <c r="A40" t="s">
        <v>68</v>
      </c>
      <c r="B40" s="23">
        <v>1.3</v>
      </c>
      <c r="C40" s="7" t="s">
        <v>69</v>
      </c>
      <c r="D40" t="s">
        <v>70</v>
      </c>
    </row>
    <row r="41" spans="1:4" x14ac:dyDescent="0.3">
      <c r="A41" t="s">
        <v>71</v>
      </c>
      <c r="B41" s="24">
        <v>1.3</v>
      </c>
      <c r="C41" s="7" t="s">
        <v>69</v>
      </c>
      <c r="D41" t="s">
        <v>72</v>
      </c>
    </row>
    <row r="42" spans="1:4" x14ac:dyDescent="0.3">
      <c r="A42" t="s">
        <v>73</v>
      </c>
      <c r="B42" s="8">
        <v>6</v>
      </c>
      <c r="C42" s="7" t="s">
        <v>31</v>
      </c>
      <c r="D42" t="s">
        <v>74</v>
      </c>
    </row>
    <row r="43" spans="1:4" x14ac:dyDescent="0.3">
      <c r="A43" t="s">
        <v>75</v>
      </c>
      <c r="B43" s="18">
        <v>0.5</v>
      </c>
      <c r="C43" s="7" t="s">
        <v>14</v>
      </c>
      <c r="D43" t="s">
        <v>76</v>
      </c>
    </row>
    <row r="44" spans="1:4" x14ac:dyDescent="0.3">
      <c r="A44" t="s">
        <v>77</v>
      </c>
      <c r="B44" s="25">
        <v>1</v>
      </c>
      <c r="C44" s="7" t="s">
        <v>78</v>
      </c>
      <c r="D44" t="s">
        <v>79</v>
      </c>
    </row>
    <row r="45" spans="1:4" x14ac:dyDescent="0.3">
      <c r="A45" t="s">
        <v>80</v>
      </c>
      <c r="B45" s="26">
        <f>B37*B15</f>
        <v>42</v>
      </c>
      <c r="C45" s="7" t="s">
        <v>25</v>
      </c>
      <c r="D45" s="11" t="s">
        <v>81</v>
      </c>
    </row>
    <row r="47" spans="1:4" x14ac:dyDescent="0.3">
      <c r="A47" s="27" t="s">
        <v>82</v>
      </c>
    </row>
    <row r="48" spans="1:4" x14ac:dyDescent="0.3">
      <c r="A48" s="28" t="s">
        <v>83</v>
      </c>
    </row>
    <row r="49" spans="1:1" x14ac:dyDescent="0.3">
      <c r="A49" s="28" t="s">
        <v>84</v>
      </c>
    </row>
    <row r="50" spans="1:1" x14ac:dyDescent="0.3">
      <c r="A50" s="28" t="s">
        <v>85</v>
      </c>
    </row>
    <row r="51" spans="1:1" x14ac:dyDescent="0.3">
      <c r="A51" s="28" t="s">
        <v>86</v>
      </c>
    </row>
    <row r="52" spans="1:1" x14ac:dyDescent="0.3">
      <c r="A52" s="28" t="s">
        <v>87</v>
      </c>
    </row>
    <row r="53" spans="1:1" x14ac:dyDescent="0.3">
      <c r="A53" s="28" t="s">
        <v>88</v>
      </c>
    </row>
    <row r="54" spans="1:1" x14ac:dyDescent="0.3">
      <c r="A54" s="28" t="s">
        <v>89</v>
      </c>
    </row>
    <row r="55" spans="1:1" x14ac:dyDescent="0.3">
      <c r="A55" s="28" t="s">
        <v>90</v>
      </c>
    </row>
    <row r="56" spans="1:1" x14ac:dyDescent="0.3">
      <c r="A56" s="28" t="s">
        <v>313</v>
      </c>
    </row>
    <row r="57" spans="1:1" x14ac:dyDescent="0.3">
      <c r="A57" s="28" t="s">
        <v>91</v>
      </c>
    </row>
  </sheetData>
  <pageMargins left="0.27777777777777779" right="0.27777777777777779" top="0.27777777777777779" bottom="0.27777777777777779" header="0.3" footer="0.3"/>
  <pageSetup paperSize="0" firstPageNumber="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1EEF-919D-4E53-A478-C7C14C5EC5BC}">
  <sheetPr>
    <tabColor rgb="FF2E75B6"/>
    <pageSetUpPr fitToPage="1"/>
  </sheetPr>
  <dimension ref="A1:W59"/>
  <sheetViews>
    <sheetView workbookViewId="0">
      <pane xSplit="3" topLeftCell="D1" activePane="topRight" state="frozen"/>
      <selection pane="topRight" activeCell="A2" sqref="A2"/>
    </sheetView>
  </sheetViews>
  <sheetFormatPr defaultRowHeight="14.4" x14ac:dyDescent="0.3"/>
  <cols>
    <col min="1" max="1" width="47.5546875" customWidth="1"/>
    <col min="2" max="2" width="10.44140625" customWidth="1"/>
    <col min="3" max="23" width="13" customWidth="1"/>
  </cols>
  <sheetData>
    <row r="1" spans="1:23" ht="18" x14ac:dyDescent="0.35">
      <c r="A1" s="29" t="s">
        <v>307</v>
      </c>
    </row>
    <row r="2" spans="1:23" x14ac:dyDescent="0.3">
      <c r="A2" s="30" t="s">
        <v>92</v>
      </c>
    </row>
    <row r="4" spans="1:23" x14ac:dyDescent="0.3">
      <c r="A4" s="56" t="s">
        <v>93</v>
      </c>
      <c r="B4" s="57" t="s">
        <v>5</v>
      </c>
      <c r="C4" s="58">
        <v>0</v>
      </c>
      <c r="D4" s="58">
        <f>C4+1</f>
        <v>1</v>
      </c>
      <c r="E4" s="58">
        <f t="shared" ref="E4:W4" si="0">D4+1</f>
        <v>2</v>
      </c>
      <c r="F4" s="58">
        <f t="shared" si="0"/>
        <v>3</v>
      </c>
      <c r="G4" s="58">
        <f t="shared" si="0"/>
        <v>4</v>
      </c>
      <c r="H4" s="58">
        <f t="shared" si="0"/>
        <v>5</v>
      </c>
      <c r="I4" s="58">
        <f t="shared" si="0"/>
        <v>6</v>
      </c>
      <c r="J4" s="58">
        <f t="shared" si="0"/>
        <v>7</v>
      </c>
      <c r="K4" s="58">
        <f t="shared" si="0"/>
        <v>8</v>
      </c>
      <c r="L4" s="58">
        <f t="shared" si="0"/>
        <v>9</v>
      </c>
      <c r="M4" s="58">
        <f t="shared" si="0"/>
        <v>10</v>
      </c>
      <c r="N4" s="58">
        <f t="shared" si="0"/>
        <v>11</v>
      </c>
      <c r="O4" s="58">
        <f t="shared" si="0"/>
        <v>12</v>
      </c>
      <c r="P4" s="58">
        <f t="shared" si="0"/>
        <v>13</v>
      </c>
      <c r="Q4" s="58">
        <f t="shared" si="0"/>
        <v>14</v>
      </c>
      <c r="R4" s="58">
        <f t="shared" si="0"/>
        <v>15</v>
      </c>
      <c r="S4" s="58">
        <f t="shared" si="0"/>
        <v>16</v>
      </c>
      <c r="T4" s="58">
        <f t="shared" si="0"/>
        <v>17</v>
      </c>
      <c r="U4" s="58">
        <f t="shared" si="0"/>
        <v>18</v>
      </c>
      <c r="V4" s="58">
        <f t="shared" si="0"/>
        <v>19</v>
      </c>
      <c r="W4" s="58">
        <f t="shared" si="0"/>
        <v>20</v>
      </c>
    </row>
    <row r="5" spans="1:23" x14ac:dyDescent="0.3">
      <c r="A5" s="56" t="s">
        <v>94</v>
      </c>
      <c r="B5" s="59"/>
      <c r="C5" s="60">
        <f>YEAR(Assumptions!$B$18)</f>
        <v>2026</v>
      </c>
      <c r="D5" s="58">
        <f>C5+1</f>
        <v>2027</v>
      </c>
      <c r="E5" s="58">
        <f t="shared" ref="E5:W5" si="1">D5+1</f>
        <v>2028</v>
      </c>
      <c r="F5" s="58">
        <f t="shared" si="1"/>
        <v>2029</v>
      </c>
      <c r="G5" s="58">
        <f t="shared" si="1"/>
        <v>2030</v>
      </c>
      <c r="H5" s="58">
        <f t="shared" si="1"/>
        <v>2031</v>
      </c>
      <c r="I5" s="58">
        <f t="shared" si="1"/>
        <v>2032</v>
      </c>
      <c r="J5" s="58">
        <f t="shared" si="1"/>
        <v>2033</v>
      </c>
      <c r="K5" s="58">
        <f t="shared" si="1"/>
        <v>2034</v>
      </c>
      <c r="L5" s="58">
        <f t="shared" si="1"/>
        <v>2035</v>
      </c>
      <c r="M5" s="58">
        <f t="shared" si="1"/>
        <v>2036</v>
      </c>
      <c r="N5" s="58">
        <f t="shared" si="1"/>
        <v>2037</v>
      </c>
      <c r="O5" s="58">
        <f t="shared" si="1"/>
        <v>2038</v>
      </c>
      <c r="P5" s="58">
        <f t="shared" si="1"/>
        <v>2039</v>
      </c>
      <c r="Q5" s="58">
        <f t="shared" si="1"/>
        <v>2040</v>
      </c>
      <c r="R5" s="58">
        <f t="shared" si="1"/>
        <v>2041</v>
      </c>
      <c r="S5" s="58">
        <f t="shared" si="1"/>
        <v>2042</v>
      </c>
      <c r="T5" s="58">
        <f t="shared" si="1"/>
        <v>2043</v>
      </c>
      <c r="U5" s="58">
        <f t="shared" si="1"/>
        <v>2044</v>
      </c>
      <c r="V5" s="58">
        <f t="shared" si="1"/>
        <v>2045</v>
      </c>
      <c r="W5" s="58">
        <f t="shared" si="1"/>
        <v>2046</v>
      </c>
    </row>
    <row r="6" spans="1:23" x14ac:dyDescent="0.3">
      <c r="A6" s="59" t="s">
        <v>95</v>
      </c>
      <c r="B6" s="59"/>
      <c r="C6" s="61" t="str">
        <f>IF(C4=0,"Construction","Operations")</f>
        <v>Construction</v>
      </c>
      <c r="D6" s="61" t="str">
        <f t="shared" ref="D6:W6" si="2">IF(D4=0,"Construction","Operations")</f>
        <v>Operations</v>
      </c>
      <c r="E6" s="61" t="str">
        <f t="shared" si="2"/>
        <v>Operations</v>
      </c>
      <c r="F6" s="61" t="str">
        <f t="shared" si="2"/>
        <v>Operations</v>
      </c>
      <c r="G6" s="61" t="str">
        <f t="shared" si="2"/>
        <v>Operations</v>
      </c>
      <c r="H6" s="61" t="str">
        <f t="shared" si="2"/>
        <v>Operations</v>
      </c>
      <c r="I6" s="61" t="str">
        <f t="shared" si="2"/>
        <v>Operations</v>
      </c>
      <c r="J6" s="61" t="str">
        <f t="shared" si="2"/>
        <v>Operations</v>
      </c>
      <c r="K6" s="61" t="str">
        <f t="shared" si="2"/>
        <v>Operations</v>
      </c>
      <c r="L6" s="61" t="str">
        <f t="shared" si="2"/>
        <v>Operations</v>
      </c>
      <c r="M6" s="61" t="str">
        <f t="shared" si="2"/>
        <v>Operations</v>
      </c>
      <c r="N6" s="61" t="str">
        <f t="shared" si="2"/>
        <v>Operations</v>
      </c>
      <c r="O6" s="61" t="str">
        <f t="shared" si="2"/>
        <v>Operations</v>
      </c>
      <c r="P6" s="61" t="str">
        <f t="shared" si="2"/>
        <v>Operations</v>
      </c>
      <c r="Q6" s="61" t="str">
        <f t="shared" si="2"/>
        <v>Operations</v>
      </c>
      <c r="R6" s="61" t="str">
        <f t="shared" si="2"/>
        <v>Operations</v>
      </c>
      <c r="S6" s="61" t="str">
        <f t="shared" si="2"/>
        <v>Operations</v>
      </c>
      <c r="T6" s="61" t="str">
        <f t="shared" si="2"/>
        <v>Operations</v>
      </c>
      <c r="U6" s="61" t="str">
        <f t="shared" si="2"/>
        <v>Operations</v>
      </c>
      <c r="V6" s="61" t="str">
        <f t="shared" si="2"/>
        <v>Operations</v>
      </c>
      <c r="W6" s="61" t="str">
        <f t="shared" si="2"/>
        <v>Operations</v>
      </c>
    </row>
    <row r="7" spans="1:23" x14ac:dyDescent="0.3">
      <c r="A7" s="59" t="s">
        <v>96</v>
      </c>
      <c r="B7" s="59"/>
      <c r="C7" s="62">
        <f>IF(AND(C4&gt;=1,C4&lt;=Assumptions!$B$20),1,0)</f>
        <v>0</v>
      </c>
      <c r="D7" s="62">
        <f>IF(AND(D4&gt;=1,D4&lt;=Assumptions!$B$20),1,0)</f>
        <v>1</v>
      </c>
      <c r="E7" s="62">
        <f>IF(AND(E4&gt;=1,E4&lt;=Assumptions!$B$20),1,0)</f>
        <v>1</v>
      </c>
      <c r="F7" s="62">
        <f>IF(AND(F4&gt;=1,F4&lt;=Assumptions!$B$20),1,0)</f>
        <v>1</v>
      </c>
      <c r="G7" s="62">
        <f>IF(AND(G4&gt;=1,G4&lt;=Assumptions!$B$20),1,0)</f>
        <v>1</v>
      </c>
      <c r="H7" s="62">
        <f>IF(AND(H4&gt;=1,H4&lt;=Assumptions!$B$20),1,0)</f>
        <v>1</v>
      </c>
      <c r="I7" s="62">
        <f>IF(AND(I4&gt;=1,I4&lt;=Assumptions!$B$20),1,0)</f>
        <v>1</v>
      </c>
      <c r="J7" s="62">
        <f>IF(AND(J4&gt;=1,J4&lt;=Assumptions!$B$20),1,0)</f>
        <v>1</v>
      </c>
      <c r="K7" s="62">
        <f>IF(AND(K4&gt;=1,K4&lt;=Assumptions!$B$20),1,0)</f>
        <v>1</v>
      </c>
      <c r="L7" s="62">
        <f>IF(AND(L4&gt;=1,L4&lt;=Assumptions!$B$20),1,0)</f>
        <v>1</v>
      </c>
      <c r="M7" s="62">
        <f>IF(AND(M4&gt;=1,M4&lt;=Assumptions!$B$20),1,0)</f>
        <v>1</v>
      </c>
      <c r="N7" s="62">
        <f>IF(AND(N4&gt;=1,N4&lt;=Assumptions!$B$20),1,0)</f>
        <v>1</v>
      </c>
      <c r="O7" s="62">
        <f>IF(AND(O4&gt;=1,O4&lt;=Assumptions!$B$20),1,0)</f>
        <v>1</v>
      </c>
      <c r="P7" s="62">
        <f>IF(AND(P4&gt;=1,P4&lt;=Assumptions!$B$20),1,0)</f>
        <v>1</v>
      </c>
      <c r="Q7" s="62">
        <f>IF(AND(Q4&gt;=1,Q4&lt;=Assumptions!$B$20),1,0)</f>
        <v>1</v>
      </c>
      <c r="R7" s="62">
        <f>IF(AND(R4&gt;=1,R4&lt;=Assumptions!$B$20),1,0)</f>
        <v>1</v>
      </c>
      <c r="S7" s="62">
        <f>IF(AND(S4&gt;=1,S4&lt;=Assumptions!$B$20),1,0)</f>
        <v>1</v>
      </c>
      <c r="T7" s="62">
        <f>IF(AND(T4&gt;=1,T4&lt;=Assumptions!$B$20),1,0)</f>
        <v>1</v>
      </c>
      <c r="U7" s="62">
        <f>IF(AND(U4&gt;=1,U4&lt;=Assumptions!$B$20),1,0)</f>
        <v>1</v>
      </c>
      <c r="V7" s="62">
        <f>IF(AND(V4&gt;=1,V4&lt;=Assumptions!$B$20),1,0)</f>
        <v>1</v>
      </c>
      <c r="W7" s="62">
        <f>IF(AND(W4&gt;=1,W4&lt;=Assumptions!$B$20),1,0)</f>
        <v>1</v>
      </c>
    </row>
    <row r="9" spans="1:23" x14ac:dyDescent="0.3">
      <c r="A9" s="4" t="s">
        <v>97</v>
      </c>
      <c r="B9" s="36"/>
    </row>
    <row r="10" spans="1:23" x14ac:dyDescent="0.3">
      <c r="A10" t="s">
        <v>98</v>
      </c>
      <c r="B10" s="37" t="s">
        <v>17</v>
      </c>
      <c r="C10" s="38">
        <f>C7*Assumptions!$B$11</f>
        <v>0</v>
      </c>
      <c r="D10" s="38">
        <f>D7*Assumptions!$B$11</f>
        <v>91.97999999999999</v>
      </c>
      <c r="E10" s="38">
        <f>E7*Assumptions!$B$11</f>
        <v>91.97999999999999</v>
      </c>
      <c r="F10" s="38">
        <f>F7*Assumptions!$B$11</f>
        <v>91.97999999999999</v>
      </c>
      <c r="G10" s="38">
        <f>G7*Assumptions!$B$11</f>
        <v>91.97999999999999</v>
      </c>
      <c r="H10" s="38">
        <f>H7*Assumptions!$B$11</f>
        <v>91.97999999999999</v>
      </c>
      <c r="I10" s="38">
        <f>I7*Assumptions!$B$11</f>
        <v>91.97999999999999</v>
      </c>
      <c r="J10" s="38">
        <f>J7*Assumptions!$B$11</f>
        <v>91.97999999999999</v>
      </c>
      <c r="K10" s="38">
        <f>K7*Assumptions!$B$11</f>
        <v>91.97999999999999</v>
      </c>
      <c r="L10" s="38">
        <f>L7*Assumptions!$B$11</f>
        <v>91.97999999999999</v>
      </c>
      <c r="M10" s="38">
        <f>M7*Assumptions!$B$11</f>
        <v>91.97999999999999</v>
      </c>
      <c r="N10" s="38">
        <f>N7*Assumptions!$B$11</f>
        <v>91.97999999999999</v>
      </c>
      <c r="O10" s="38">
        <f>O7*Assumptions!$B$11</f>
        <v>91.97999999999999</v>
      </c>
      <c r="P10" s="38">
        <f>P7*Assumptions!$B$11</f>
        <v>91.97999999999999</v>
      </c>
      <c r="Q10" s="38">
        <f>Q7*Assumptions!$B$11</f>
        <v>91.97999999999999</v>
      </c>
      <c r="R10" s="38">
        <f>R7*Assumptions!$B$11</f>
        <v>91.97999999999999</v>
      </c>
      <c r="S10" s="38">
        <f>S7*Assumptions!$B$11</f>
        <v>91.97999999999999</v>
      </c>
      <c r="T10" s="38">
        <f>T7*Assumptions!$B$11</f>
        <v>91.97999999999999</v>
      </c>
      <c r="U10" s="38">
        <f>U7*Assumptions!$B$11</f>
        <v>91.97999999999999</v>
      </c>
      <c r="V10" s="38">
        <f>V7*Assumptions!$B$11</f>
        <v>91.97999999999999</v>
      </c>
      <c r="W10" s="38">
        <f>W7*Assumptions!$B$11</f>
        <v>91.97999999999999</v>
      </c>
    </row>
    <row r="11" spans="1:23" x14ac:dyDescent="0.3">
      <c r="A11" t="s">
        <v>99</v>
      </c>
      <c r="B11" s="37" t="s">
        <v>100</v>
      </c>
      <c r="C11" s="39">
        <f>IF(C7=0,0,Assumptions!$B$23*(1+Assumptions!$B$24)^(C4-1))</f>
        <v>0</v>
      </c>
      <c r="D11" s="39">
        <f>IF(D7=0,0,Assumptions!$B$23*(1+Assumptions!$B$24)^(D4-1))</f>
        <v>7.4999999999999997E-2</v>
      </c>
      <c r="E11" s="39">
        <f>IF(E7=0,0,Assumptions!$B$23*(1+Assumptions!$B$24)^(E4-1))</f>
        <v>7.6124999999999984E-2</v>
      </c>
      <c r="F11" s="39">
        <f>IF(F7=0,0,Assumptions!$B$23*(1+Assumptions!$B$24)^(F4-1))</f>
        <v>7.7266874999999971E-2</v>
      </c>
      <c r="G11" s="39">
        <f>IF(G7=0,0,Assumptions!$B$23*(1+Assumptions!$B$24)^(G4-1))</f>
        <v>7.8425878124999973E-2</v>
      </c>
      <c r="H11" s="39">
        <f>IF(H7=0,0,Assumptions!$B$23*(1+Assumptions!$B$24)^(H4-1))</f>
        <v>7.960226629687496E-2</v>
      </c>
      <c r="I11" s="39">
        <f>IF(I7=0,0,Assumptions!$B$23*(1+Assumptions!$B$24)^(I4-1))</f>
        <v>8.0796300291328074E-2</v>
      </c>
      <c r="J11" s="39">
        <f>IF(J7=0,0,Assumptions!$B$23*(1+Assumptions!$B$24)^(J4-1))</f>
        <v>8.2008244795697974E-2</v>
      </c>
      <c r="K11" s="39">
        <f>IF(K7=0,0,Assumptions!$B$23*(1+Assumptions!$B$24)^(K4-1))</f>
        <v>8.3238368467633425E-2</v>
      </c>
      <c r="L11" s="39">
        <f>IF(L7=0,0,Assumptions!$B$23*(1+Assumptions!$B$24)^(L4-1))</f>
        <v>8.4486943994647928E-2</v>
      </c>
      <c r="M11" s="39">
        <f>IF(M7=0,0,Assumptions!$B$23*(1+Assumptions!$B$24)^(M4-1))</f>
        <v>8.5754248154567628E-2</v>
      </c>
      <c r="N11" s="39">
        <f>IF(N7=0,0,Assumptions!$B$23*(1+Assumptions!$B$24)^(N4-1))</f>
        <v>8.7040561876886136E-2</v>
      </c>
      <c r="O11" s="39">
        <f>IF(O7=0,0,Assumptions!$B$23*(1+Assumptions!$B$24)^(O4-1))</f>
        <v>8.8346170305039426E-2</v>
      </c>
      <c r="P11" s="39">
        <f>IF(P7=0,0,Assumptions!$B$23*(1+Assumptions!$B$24)^(P4-1))</f>
        <v>8.9671362859614995E-2</v>
      </c>
      <c r="Q11" s="39">
        <f>IF(Q7=0,0,Assumptions!$B$23*(1+Assumptions!$B$24)^(Q4-1))</f>
        <v>9.1016433302509206E-2</v>
      </c>
      <c r="R11" s="39">
        <f>IF(R7=0,0,Assumptions!$B$23*(1+Assumptions!$B$24)^(R4-1))</f>
        <v>9.2381679802046826E-2</v>
      </c>
      <c r="S11" s="39">
        <f>IF(S7=0,0,Assumptions!$B$23*(1+Assumptions!$B$24)^(S4-1))</f>
        <v>9.3767404999077514E-2</v>
      </c>
      <c r="T11" s="39">
        <f>IF(T7=0,0,Assumptions!$B$23*(1+Assumptions!$B$24)^(T4-1))</f>
        <v>9.5173916074063669E-2</v>
      </c>
      <c r="U11" s="39">
        <f>IF(U7=0,0,Assumptions!$B$23*(1+Assumptions!$B$24)^(U4-1))</f>
        <v>9.6601524815174603E-2</v>
      </c>
      <c r="V11" s="39">
        <f>IF(V7=0,0,Assumptions!$B$23*(1+Assumptions!$B$24)^(V4-1))</f>
        <v>9.805054768740222E-2</v>
      </c>
      <c r="W11" s="39">
        <f>IF(W7=0,0,Assumptions!$B$23*(1+Assumptions!$B$24)^(W4-1))</f>
        <v>9.9521305902713242E-2</v>
      </c>
    </row>
    <row r="12" spans="1:23" x14ac:dyDescent="0.3">
      <c r="A12" s="12" t="s">
        <v>101</v>
      </c>
      <c r="B12" s="37" t="s">
        <v>25</v>
      </c>
      <c r="C12" s="40">
        <f>C10*C11</f>
        <v>0</v>
      </c>
      <c r="D12" s="40">
        <f t="shared" ref="D12:W12" si="3">D10*D11</f>
        <v>6.8984999999999994</v>
      </c>
      <c r="E12" s="40">
        <f t="shared" si="3"/>
        <v>7.001977499999998</v>
      </c>
      <c r="F12" s="40">
        <f t="shared" si="3"/>
        <v>7.1070071624999969</v>
      </c>
      <c r="G12" s="40">
        <f t="shared" si="3"/>
        <v>7.2136122699374967</v>
      </c>
      <c r="H12" s="40">
        <f t="shared" si="3"/>
        <v>7.3218164539865578</v>
      </c>
      <c r="I12" s="40">
        <f t="shared" si="3"/>
        <v>7.4316437007963554</v>
      </c>
      <c r="J12" s="40">
        <f t="shared" si="3"/>
        <v>7.5431183563082991</v>
      </c>
      <c r="K12" s="40">
        <f t="shared" si="3"/>
        <v>7.6562651316529218</v>
      </c>
      <c r="L12" s="40">
        <f t="shared" si="3"/>
        <v>7.7711091086277158</v>
      </c>
      <c r="M12" s="40">
        <f t="shared" si="3"/>
        <v>7.8876757452571296</v>
      </c>
      <c r="N12" s="40">
        <f t="shared" si="3"/>
        <v>8.0059908814359861</v>
      </c>
      <c r="O12" s="40">
        <f t="shared" si="3"/>
        <v>8.1260807446575249</v>
      </c>
      <c r="P12" s="40">
        <f t="shared" si="3"/>
        <v>8.2479719558273867</v>
      </c>
      <c r="Q12" s="40">
        <f t="shared" si="3"/>
        <v>8.3716915351647962</v>
      </c>
      <c r="R12" s="40">
        <f t="shared" si="3"/>
        <v>8.497266908192266</v>
      </c>
      <c r="S12" s="40">
        <f t="shared" si="3"/>
        <v>8.6247259118151494</v>
      </c>
      <c r="T12" s="40">
        <f t="shared" si="3"/>
        <v>8.7540968004923752</v>
      </c>
      <c r="U12" s="40">
        <f t="shared" si="3"/>
        <v>8.8854082524997597</v>
      </c>
      <c r="V12" s="40">
        <f t="shared" si="3"/>
        <v>9.0186893762872558</v>
      </c>
      <c r="W12" s="40">
        <f t="shared" si="3"/>
        <v>9.153969716931563</v>
      </c>
    </row>
    <row r="14" spans="1:23" x14ac:dyDescent="0.3">
      <c r="A14" s="4" t="s">
        <v>102</v>
      </c>
      <c r="B14" s="36"/>
    </row>
    <row r="15" spans="1:23" x14ac:dyDescent="0.3">
      <c r="A15" t="s">
        <v>103</v>
      </c>
      <c r="B15" s="37" t="s">
        <v>25</v>
      </c>
      <c r="C15" s="41">
        <f>-IF(C7=0,0,Assumptions!$B$26*(1+Assumptions!$B$27)^(C4-1))</f>
        <v>0</v>
      </c>
      <c r="D15" s="41">
        <f>-IF(D7=0,0,Assumptions!$B$26*(1+Assumptions!$B$27)^(D4-1))</f>
        <v>-1.2</v>
      </c>
      <c r="E15" s="41">
        <f>-IF(E7=0,0,Assumptions!$B$26*(1+Assumptions!$B$27)^(E4-1))</f>
        <v>-1.236</v>
      </c>
      <c r="F15" s="41">
        <f>-IF(F7=0,0,Assumptions!$B$26*(1+Assumptions!$B$27)^(F4-1))</f>
        <v>-1.27308</v>
      </c>
      <c r="G15" s="41">
        <f>-IF(G7=0,0,Assumptions!$B$26*(1+Assumptions!$B$27)^(G4-1))</f>
        <v>-1.3112724</v>
      </c>
      <c r="H15" s="41">
        <f>-IF(H7=0,0,Assumptions!$B$26*(1+Assumptions!$B$27)^(H4-1))</f>
        <v>-1.3506105719999999</v>
      </c>
      <c r="I15" s="41">
        <f>-IF(I7=0,0,Assumptions!$B$26*(1+Assumptions!$B$27)^(I4-1))</f>
        <v>-1.3911288891599998</v>
      </c>
      <c r="J15" s="41">
        <f>-IF(J7=0,0,Assumptions!$B$26*(1+Assumptions!$B$27)^(J4-1))</f>
        <v>-1.4328627558347999</v>
      </c>
      <c r="K15" s="41">
        <f>-IF(K7=0,0,Assumptions!$B$26*(1+Assumptions!$B$27)^(K4-1))</f>
        <v>-1.4758486385098439</v>
      </c>
      <c r="L15" s="41">
        <f>-IF(L7=0,0,Assumptions!$B$26*(1+Assumptions!$B$27)^(L4-1))</f>
        <v>-1.5201240976651391</v>
      </c>
      <c r="M15" s="41">
        <f>-IF(M7=0,0,Assumptions!$B$26*(1+Assumptions!$B$27)^(M4-1))</f>
        <v>-1.5657278205950933</v>
      </c>
      <c r="N15" s="41">
        <f>-IF(N7=0,0,Assumptions!$B$26*(1+Assumptions!$B$27)^(N4-1))</f>
        <v>-1.612699655212946</v>
      </c>
      <c r="O15" s="41">
        <f>-IF(O7=0,0,Assumptions!$B$26*(1+Assumptions!$B$27)^(O4-1))</f>
        <v>-1.6610806448693345</v>
      </c>
      <c r="P15" s="41">
        <f>-IF(P7=0,0,Assumptions!$B$26*(1+Assumptions!$B$27)^(P4-1))</f>
        <v>-1.7109130642154142</v>
      </c>
      <c r="Q15" s="41">
        <f>-IF(Q7=0,0,Assumptions!$B$26*(1+Assumptions!$B$27)^(Q4-1))</f>
        <v>-1.7622404561418767</v>
      </c>
      <c r="R15" s="41">
        <f>-IF(R7=0,0,Assumptions!$B$26*(1+Assumptions!$B$27)^(R4-1))</f>
        <v>-1.815107669826133</v>
      </c>
      <c r="S15" s="41">
        <f>-IF(S7=0,0,Assumptions!$B$26*(1+Assumptions!$B$27)^(S4-1))</f>
        <v>-1.8695608999209172</v>
      </c>
      <c r="T15" s="41">
        <f>-IF(T7=0,0,Assumptions!$B$26*(1+Assumptions!$B$27)^(T4-1))</f>
        <v>-1.9256477269185444</v>
      </c>
      <c r="U15" s="41">
        <f>-IF(U7=0,0,Assumptions!$B$26*(1+Assumptions!$B$27)^(U4-1))</f>
        <v>-1.9834171587261007</v>
      </c>
      <c r="V15" s="41">
        <f>-IF(V7=0,0,Assumptions!$B$26*(1+Assumptions!$B$27)^(V4-1))</f>
        <v>-2.0429196734878836</v>
      </c>
      <c r="W15" s="41">
        <f>-IF(W7=0,0,Assumptions!$B$26*(1+Assumptions!$B$27)^(W4-1))</f>
        <v>-2.1042072636925204</v>
      </c>
    </row>
    <row r="17" spans="1:23" x14ac:dyDescent="0.3">
      <c r="A17" s="12" t="s">
        <v>104</v>
      </c>
      <c r="B17" s="37" t="s">
        <v>25</v>
      </c>
      <c r="C17" s="40">
        <f>C12+C15</f>
        <v>0</v>
      </c>
      <c r="D17" s="40">
        <f t="shared" ref="D17:W17" si="4">D12+D15</f>
        <v>5.6984999999999992</v>
      </c>
      <c r="E17" s="40">
        <f t="shared" si="4"/>
        <v>5.7659774999999982</v>
      </c>
      <c r="F17" s="40">
        <f t="shared" si="4"/>
        <v>5.8339271624999967</v>
      </c>
      <c r="G17" s="40">
        <f t="shared" si="4"/>
        <v>5.9023398699374967</v>
      </c>
      <c r="H17" s="40">
        <f t="shared" si="4"/>
        <v>5.9712058819865579</v>
      </c>
      <c r="I17" s="40">
        <f t="shared" si="4"/>
        <v>6.0405148116363554</v>
      </c>
      <c r="J17" s="40">
        <f t="shared" si="4"/>
        <v>6.1102556004734989</v>
      </c>
      <c r="K17" s="40">
        <f t="shared" si="4"/>
        <v>6.1804164931430776</v>
      </c>
      <c r="L17" s="40">
        <f t="shared" si="4"/>
        <v>6.2509850109625766</v>
      </c>
      <c r="M17" s="40">
        <f t="shared" si="4"/>
        <v>6.3219479246620365</v>
      </c>
      <c r="N17" s="40">
        <f t="shared" si="4"/>
        <v>6.3932912262230399</v>
      </c>
      <c r="O17" s="40">
        <f t="shared" si="4"/>
        <v>6.46500009978819</v>
      </c>
      <c r="P17" s="40">
        <f t="shared" si="4"/>
        <v>6.5370588916119727</v>
      </c>
      <c r="Q17" s="40">
        <f t="shared" si="4"/>
        <v>6.6094510790229197</v>
      </c>
      <c r="R17" s="40">
        <f t="shared" si="4"/>
        <v>6.6821592383661326</v>
      </c>
      <c r="S17" s="40">
        <f t="shared" si="4"/>
        <v>6.7551650118942321</v>
      </c>
      <c r="T17" s="40">
        <f t="shared" si="4"/>
        <v>6.8284490735738306</v>
      </c>
      <c r="U17" s="40">
        <f t="shared" si="4"/>
        <v>6.9019910937736588</v>
      </c>
      <c r="V17" s="40">
        <f t="shared" si="4"/>
        <v>6.9757697027993721</v>
      </c>
      <c r="W17" s="40">
        <f t="shared" si="4"/>
        <v>7.0497624532390422</v>
      </c>
    </row>
    <row r="18" spans="1:23" x14ac:dyDescent="0.3">
      <c r="A18" t="s">
        <v>105</v>
      </c>
      <c r="B18" s="37" t="s">
        <v>14</v>
      </c>
      <c r="C18" s="42">
        <f>IF(C12=0,0,C17/C12)</f>
        <v>0</v>
      </c>
      <c r="D18" s="42">
        <f t="shared" ref="D18:W18" si="5">IF(D12=0,0,D17/D12)</f>
        <v>0.82604914111763428</v>
      </c>
      <c r="E18" s="42">
        <f t="shared" si="5"/>
        <v>0.82347843876961901</v>
      </c>
      <c r="F18" s="42">
        <f t="shared" si="5"/>
        <v>0.82086974574650984</v>
      </c>
      <c r="G18" s="42">
        <f t="shared" si="5"/>
        <v>0.81822250060975876</v>
      </c>
      <c r="H18" s="42">
        <f t="shared" si="5"/>
        <v>0.81553613362369604</v>
      </c>
      <c r="I18" s="42">
        <f t="shared" si="5"/>
        <v>0.81281006663291322</v>
      </c>
      <c r="J18" s="42">
        <f t="shared" si="5"/>
        <v>0.81004371293783306</v>
      </c>
      <c r="K18" s="42">
        <f t="shared" si="5"/>
        <v>0.80723647716844138</v>
      </c>
      <c r="L18" s="42">
        <f t="shared" si="5"/>
        <v>0.80438775515615235</v>
      </c>
      <c r="M18" s="42">
        <f t="shared" si="5"/>
        <v>0.80149693380378029</v>
      </c>
      <c r="N18" s="42">
        <f t="shared" si="5"/>
        <v>0.79856339095358975</v>
      </c>
      <c r="O18" s="42">
        <f t="shared" si="5"/>
        <v>0.79558649525339642</v>
      </c>
      <c r="P18" s="42">
        <f t="shared" si="5"/>
        <v>0.79256560602068804</v>
      </c>
      <c r="Q18" s="42">
        <f t="shared" si="5"/>
        <v>0.78950007310473758</v>
      </c>
      <c r="R18" s="42">
        <f t="shared" si="5"/>
        <v>0.78638923674667938</v>
      </c>
      <c r="S18" s="42">
        <f t="shared" si="5"/>
        <v>0.78323242743751709</v>
      </c>
      <c r="T18" s="42">
        <f t="shared" si="5"/>
        <v>0.78002896577403202</v>
      </c>
      <c r="U18" s="42">
        <f t="shared" si="5"/>
        <v>0.77677816231256458</v>
      </c>
      <c r="V18" s="42">
        <f t="shared" si="5"/>
        <v>0.77347931742063203</v>
      </c>
      <c r="W18" s="42">
        <f t="shared" si="5"/>
        <v>0.77013172112635553</v>
      </c>
    </row>
    <row r="20" spans="1:23" x14ac:dyDescent="0.3">
      <c r="A20" s="4" t="s">
        <v>106</v>
      </c>
      <c r="B20" s="36"/>
    </row>
    <row r="21" spans="1:23" x14ac:dyDescent="0.3">
      <c r="A21" t="s">
        <v>107</v>
      </c>
      <c r="B21" s="37" t="s">
        <v>25</v>
      </c>
      <c r="C21" s="41">
        <v>0</v>
      </c>
      <c r="D21" s="41">
        <f>C24</f>
        <v>60</v>
      </c>
      <c r="E21" s="41">
        <f t="shared" ref="E21:W21" si="6">D24</f>
        <v>57</v>
      </c>
      <c r="F21" s="41">
        <f t="shared" si="6"/>
        <v>54</v>
      </c>
      <c r="G21" s="41">
        <f t="shared" si="6"/>
        <v>51</v>
      </c>
      <c r="H21" s="41">
        <f t="shared" si="6"/>
        <v>48</v>
      </c>
      <c r="I21" s="41">
        <f t="shared" si="6"/>
        <v>45</v>
      </c>
      <c r="J21" s="41">
        <f t="shared" si="6"/>
        <v>42</v>
      </c>
      <c r="K21" s="41">
        <f t="shared" si="6"/>
        <v>39</v>
      </c>
      <c r="L21" s="41">
        <f t="shared" si="6"/>
        <v>36</v>
      </c>
      <c r="M21" s="41">
        <f t="shared" si="6"/>
        <v>33</v>
      </c>
      <c r="N21" s="41">
        <f t="shared" si="6"/>
        <v>30</v>
      </c>
      <c r="O21" s="41">
        <f t="shared" si="6"/>
        <v>27</v>
      </c>
      <c r="P21" s="41">
        <f t="shared" si="6"/>
        <v>24</v>
      </c>
      <c r="Q21" s="41">
        <f t="shared" si="6"/>
        <v>21</v>
      </c>
      <c r="R21" s="41">
        <f t="shared" si="6"/>
        <v>18</v>
      </c>
      <c r="S21" s="41">
        <f t="shared" si="6"/>
        <v>15</v>
      </c>
      <c r="T21" s="41">
        <f t="shared" si="6"/>
        <v>12</v>
      </c>
      <c r="U21" s="41">
        <f t="shared" si="6"/>
        <v>9</v>
      </c>
      <c r="V21" s="41">
        <f t="shared" si="6"/>
        <v>6</v>
      </c>
      <c r="W21" s="41">
        <f t="shared" si="6"/>
        <v>3</v>
      </c>
    </row>
    <row r="22" spans="1:23" x14ac:dyDescent="0.3">
      <c r="A22" t="s">
        <v>108</v>
      </c>
      <c r="B22" s="37" t="s">
        <v>25</v>
      </c>
      <c r="C22" s="41">
        <f>IF(C4=0,Assumptions!$B$15,0)</f>
        <v>60</v>
      </c>
      <c r="D22" s="41">
        <f>IF(D4=0,Assumptions!$B$15,0)</f>
        <v>0</v>
      </c>
      <c r="E22" s="41">
        <f>IF(E4=0,Assumptions!$B$15,0)</f>
        <v>0</v>
      </c>
      <c r="F22" s="41">
        <f>IF(F4=0,Assumptions!$B$15,0)</f>
        <v>0</v>
      </c>
      <c r="G22" s="41">
        <f>IF(G4=0,Assumptions!$B$15,0)</f>
        <v>0</v>
      </c>
      <c r="H22" s="41">
        <f>IF(H4=0,Assumptions!$B$15,0)</f>
        <v>0</v>
      </c>
      <c r="I22" s="41">
        <f>IF(I4=0,Assumptions!$B$15,0)</f>
        <v>0</v>
      </c>
      <c r="J22" s="41">
        <f>IF(J4=0,Assumptions!$B$15,0)</f>
        <v>0</v>
      </c>
      <c r="K22" s="41">
        <f>IF(K4=0,Assumptions!$B$15,0)</f>
        <v>0</v>
      </c>
      <c r="L22" s="41">
        <f>IF(L4=0,Assumptions!$B$15,0)</f>
        <v>0</v>
      </c>
      <c r="M22" s="41">
        <f>IF(M4=0,Assumptions!$B$15,0)</f>
        <v>0</v>
      </c>
      <c r="N22" s="41">
        <f>IF(N4=0,Assumptions!$B$15,0)</f>
        <v>0</v>
      </c>
      <c r="O22" s="41">
        <f>IF(O4=0,Assumptions!$B$15,0)</f>
        <v>0</v>
      </c>
      <c r="P22" s="41">
        <f>IF(P4=0,Assumptions!$B$15,0)</f>
        <v>0</v>
      </c>
      <c r="Q22" s="41">
        <f>IF(Q4=0,Assumptions!$B$15,0)</f>
        <v>0</v>
      </c>
      <c r="R22" s="41">
        <f>IF(R4=0,Assumptions!$B$15,0)</f>
        <v>0</v>
      </c>
      <c r="S22" s="41">
        <f>IF(S4=0,Assumptions!$B$15,0)</f>
        <v>0</v>
      </c>
      <c r="T22" s="41">
        <f>IF(T4=0,Assumptions!$B$15,0)</f>
        <v>0</v>
      </c>
      <c r="U22" s="41">
        <f>IF(U4=0,Assumptions!$B$15,0)</f>
        <v>0</v>
      </c>
      <c r="V22" s="41">
        <f>IF(V4=0,Assumptions!$B$15,0)</f>
        <v>0</v>
      </c>
      <c r="W22" s="41">
        <f>IF(W4=0,Assumptions!$B$15,0)</f>
        <v>0</v>
      </c>
    </row>
    <row r="23" spans="1:23" x14ac:dyDescent="0.3">
      <c r="A23" t="s">
        <v>109</v>
      </c>
      <c r="B23" s="37" t="s">
        <v>25</v>
      </c>
      <c r="C23" s="41">
        <f>-IF(AND(C4&gt;=1,C4&lt;=Assumptions!$B$31),Assumptions!$B$32,0)</f>
        <v>0</v>
      </c>
      <c r="D23" s="41">
        <f>-IF(AND(D4&gt;=1,D4&lt;=Assumptions!$B$31),Assumptions!$B$32,0)</f>
        <v>-3</v>
      </c>
      <c r="E23" s="41">
        <f>-IF(AND(E4&gt;=1,E4&lt;=Assumptions!$B$31),Assumptions!$B$32,0)</f>
        <v>-3</v>
      </c>
      <c r="F23" s="41">
        <f>-IF(AND(F4&gt;=1,F4&lt;=Assumptions!$B$31),Assumptions!$B$32,0)</f>
        <v>-3</v>
      </c>
      <c r="G23" s="41">
        <f>-IF(AND(G4&gt;=1,G4&lt;=Assumptions!$B$31),Assumptions!$B$32,0)</f>
        <v>-3</v>
      </c>
      <c r="H23" s="41">
        <f>-IF(AND(H4&gt;=1,H4&lt;=Assumptions!$B$31),Assumptions!$B$32,0)</f>
        <v>-3</v>
      </c>
      <c r="I23" s="41">
        <f>-IF(AND(I4&gt;=1,I4&lt;=Assumptions!$B$31),Assumptions!$B$32,0)</f>
        <v>-3</v>
      </c>
      <c r="J23" s="41">
        <f>-IF(AND(J4&gt;=1,J4&lt;=Assumptions!$B$31),Assumptions!$B$32,0)</f>
        <v>-3</v>
      </c>
      <c r="K23" s="41">
        <f>-IF(AND(K4&gt;=1,K4&lt;=Assumptions!$B$31),Assumptions!$B$32,0)</f>
        <v>-3</v>
      </c>
      <c r="L23" s="41">
        <f>-IF(AND(L4&gt;=1,L4&lt;=Assumptions!$B$31),Assumptions!$B$32,0)</f>
        <v>-3</v>
      </c>
      <c r="M23" s="41">
        <f>-IF(AND(M4&gt;=1,M4&lt;=Assumptions!$B$31),Assumptions!$B$32,0)</f>
        <v>-3</v>
      </c>
      <c r="N23" s="41">
        <f>-IF(AND(N4&gt;=1,N4&lt;=Assumptions!$B$31),Assumptions!$B$32,0)</f>
        <v>-3</v>
      </c>
      <c r="O23" s="41">
        <f>-IF(AND(O4&gt;=1,O4&lt;=Assumptions!$B$31),Assumptions!$B$32,0)</f>
        <v>-3</v>
      </c>
      <c r="P23" s="41">
        <f>-IF(AND(P4&gt;=1,P4&lt;=Assumptions!$B$31),Assumptions!$B$32,0)</f>
        <v>-3</v>
      </c>
      <c r="Q23" s="41">
        <f>-IF(AND(Q4&gt;=1,Q4&lt;=Assumptions!$B$31),Assumptions!$B$32,0)</f>
        <v>-3</v>
      </c>
      <c r="R23" s="41">
        <f>-IF(AND(R4&gt;=1,R4&lt;=Assumptions!$B$31),Assumptions!$B$32,0)</f>
        <v>-3</v>
      </c>
      <c r="S23" s="41">
        <f>-IF(AND(S4&gt;=1,S4&lt;=Assumptions!$B$31),Assumptions!$B$32,0)</f>
        <v>-3</v>
      </c>
      <c r="T23" s="41">
        <f>-IF(AND(T4&gt;=1,T4&lt;=Assumptions!$B$31),Assumptions!$B$32,0)</f>
        <v>-3</v>
      </c>
      <c r="U23" s="41">
        <f>-IF(AND(U4&gt;=1,U4&lt;=Assumptions!$B$31),Assumptions!$B$32,0)</f>
        <v>-3</v>
      </c>
      <c r="V23" s="41">
        <f>-IF(AND(V4&gt;=1,V4&lt;=Assumptions!$B$31),Assumptions!$B$32,0)</f>
        <v>-3</v>
      </c>
      <c r="W23" s="41">
        <f>-IF(AND(W4&gt;=1,W4&lt;=Assumptions!$B$31),Assumptions!$B$32,0)</f>
        <v>-3</v>
      </c>
    </row>
    <row r="24" spans="1:23" x14ac:dyDescent="0.3">
      <c r="A24" s="12" t="s">
        <v>110</v>
      </c>
      <c r="B24" s="37" t="s">
        <v>25</v>
      </c>
      <c r="C24" s="40">
        <f>C21+C22+C23</f>
        <v>60</v>
      </c>
      <c r="D24" s="40">
        <f t="shared" ref="D24:W24" si="7">D21+D22+D23</f>
        <v>57</v>
      </c>
      <c r="E24" s="40">
        <f t="shared" si="7"/>
        <v>54</v>
      </c>
      <c r="F24" s="40">
        <f t="shared" si="7"/>
        <v>51</v>
      </c>
      <c r="G24" s="40">
        <f t="shared" si="7"/>
        <v>48</v>
      </c>
      <c r="H24" s="40">
        <f t="shared" si="7"/>
        <v>45</v>
      </c>
      <c r="I24" s="40">
        <f t="shared" si="7"/>
        <v>42</v>
      </c>
      <c r="J24" s="40">
        <f t="shared" si="7"/>
        <v>39</v>
      </c>
      <c r="K24" s="40">
        <f t="shared" si="7"/>
        <v>36</v>
      </c>
      <c r="L24" s="40">
        <f t="shared" si="7"/>
        <v>33</v>
      </c>
      <c r="M24" s="40">
        <f t="shared" si="7"/>
        <v>30</v>
      </c>
      <c r="N24" s="40">
        <f t="shared" si="7"/>
        <v>27</v>
      </c>
      <c r="O24" s="40">
        <f t="shared" si="7"/>
        <v>24</v>
      </c>
      <c r="P24" s="40">
        <f t="shared" si="7"/>
        <v>21</v>
      </c>
      <c r="Q24" s="40">
        <f t="shared" si="7"/>
        <v>18</v>
      </c>
      <c r="R24" s="40">
        <f t="shared" si="7"/>
        <v>15</v>
      </c>
      <c r="S24" s="40">
        <f t="shared" si="7"/>
        <v>12</v>
      </c>
      <c r="T24" s="40">
        <f t="shared" si="7"/>
        <v>9</v>
      </c>
      <c r="U24" s="40">
        <f t="shared" si="7"/>
        <v>6</v>
      </c>
      <c r="V24" s="40">
        <f t="shared" si="7"/>
        <v>3</v>
      </c>
      <c r="W24" s="40">
        <f t="shared" si="7"/>
        <v>0</v>
      </c>
    </row>
    <row r="26" spans="1:23" x14ac:dyDescent="0.3">
      <c r="A26" t="s">
        <v>111</v>
      </c>
      <c r="B26" s="37" t="s">
        <v>25</v>
      </c>
      <c r="C26" s="41">
        <f>C17+C23</f>
        <v>0</v>
      </c>
      <c r="D26" s="41">
        <f t="shared" ref="D26:W26" si="8">D17+D23</f>
        <v>2.6984999999999992</v>
      </c>
      <c r="E26" s="41">
        <f t="shared" si="8"/>
        <v>2.7659774999999982</v>
      </c>
      <c r="F26" s="41">
        <f t="shared" si="8"/>
        <v>2.8339271624999967</v>
      </c>
      <c r="G26" s="41">
        <f t="shared" si="8"/>
        <v>2.9023398699374967</v>
      </c>
      <c r="H26" s="41">
        <f t="shared" si="8"/>
        <v>2.9712058819865579</v>
      </c>
      <c r="I26" s="41">
        <f t="shared" si="8"/>
        <v>3.0405148116363554</v>
      </c>
      <c r="J26" s="41">
        <f t="shared" si="8"/>
        <v>3.1102556004734989</v>
      </c>
      <c r="K26" s="41">
        <f t="shared" si="8"/>
        <v>3.1804164931430776</v>
      </c>
      <c r="L26" s="41">
        <f t="shared" si="8"/>
        <v>3.2509850109625766</v>
      </c>
      <c r="M26" s="41">
        <f t="shared" si="8"/>
        <v>3.3219479246620365</v>
      </c>
      <c r="N26" s="41">
        <f t="shared" si="8"/>
        <v>3.3932912262230399</v>
      </c>
      <c r="O26" s="41">
        <f t="shared" si="8"/>
        <v>3.46500009978819</v>
      </c>
      <c r="P26" s="41">
        <f t="shared" si="8"/>
        <v>3.5370588916119727</v>
      </c>
      <c r="Q26" s="41">
        <f t="shared" si="8"/>
        <v>3.6094510790229197</v>
      </c>
      <c r="R26" s="41">
        <f t="shared" si="8"/>
        <v>3.6821592383661326</v>
      </c>
      <c r="S26" s="41">
        <f t="shared" si="8"/>
        <v>3.7551650118942321</v>
      </c>
      <c r="T26" s="41">
        <f t="shared" si="8"/>
        <v>3.8284490735738306</v>
      </c>
      <c r="U26" s="41">
        <f t="shared" si="8"/>
        <v>3.9019910937736588</v>
      </c>
      <c r="V26" s="41">
        <f t="shared" si="8"/>
        <v>3.9757697027993721</v>
      </c>
      <c r="W26" s="41">
        <f t="shared" si="8"/>
        <v>4.0497624532390422</v>
      </c>
    </row>
    <row r="27" spans="1:23" x14ac:dyDescent="0.3">
      <c r="A27" t="s">
        <v>112</v>
      </c>
      <c r="B27" s="37" t="s">
        <v>25</v>
      </c>
      <c r="C27" s="41">
        <f>-MAX(0,C26)*Assumptions!$B$33</f>
        <v>0</v>
      </c>
      <c r="D27" s="41">
        <f>-MAX(0,D26)*Assumptions!$B$33</f>
        <v>-0.80954999999999977</v>
      </c>
      <c r="E27" s="41">
        <f>-MAX(0,E26)*Assumptions!$B$33</f>
        <v>-0.82979324999999948</v>
      </c>
      <c r="F27" s="41">
        <f>-MAX(0,F26)*Assumptions!$B$33</f>
        <v>-0.85017814874999897</v>
      </c>
      <c r="G27" s="41">
        <f>-MAX(0,G26)*Assumptions!$B$33</f>
        <v>-0.87070196098124897</v>
      </c>
      <c r="H27" s="41">
        <f>-MAX(0,H26)*Assumptions!$B$33</f>
        <v>-0.89136176459596739</v>
      </c>
      <c r="I27" s="41">
        <f>-MAX(0,I26)*Assumptions!$B$33</f>
        <v>-0.91215444349090657</v>
      </c>
      <c r="J27" s="41">
        <f>-MAX(0,J26)*Assumptions!$B$33</f>
        <v>-0.93307668014204959</v>
      </c>
      <c r="K27" s="41">
        <f>-MAX(0,K26)*Assumptions!$B$33</f>
        <v>-0.95412494794292324</v>
      </c>
      <c r="L27" s="41">
        <f>-MAX(0,L26)*Assumptions!$B$33</f>
        <v>-0.9752955032887729</v>
      </c>
      <c r="M27" s="41">
        <f>-MAX(0,M26)*Assumptions!$B$33</f>
        <v>-0.99658437739861094</v>
      </c>
      <c r="N27" s="41">
        <f>-MAX(0,N26)*Assumptions!$B$33</f>
        <v>-1.017987367866912</v>
      </c>
      <c r="O27" s="41">
        <f>-MAX(0,O26)*Assumptions!$B$33</f>
        <v>-1.039500029936457</v>
      </c>
      <c r="P27" s="41">
        <f>-MAX(0,P26)*Assumptions!$B$33</f>
        <v>-1.0611176674835918</v>
      </c>
      <c r="Q27" s="41">
        <f>-MAX(0,Q26)*Assumptions!$B$33</f>
        <v>-1.082835323706876</v>
      </c>
      <c r="R27" s="41">
        <f>-MAX(0,R26)*Assumptions!$B$33</f>
        <v>-1.1046477715098397</v>
      </c>
      <c r="S27" s="41">
        <f>-MAX(0,S26)*Assumptions!$B$33</f>
        <v>-1.1265495035682696</v>
      </c>
      <c r="T27" s="41">
        <f>-MAX(0,T26)*Assumptions!$B$33</f>
        <v>-1.1485347220721491</v>
      </c>
      <c r="U27" s="41">
        <f>-MAX(0,U26)*Assumptions!$B$33</f>
        <v>-1.1705973281320976</v>
      </c>
      <c r="V27" s="41">
        <f>-MAX(0,V26)*Assumptions!$B$33</f>
        <v>-1.1927309108398116</v>
      </c>
      <c r="W27" s="41">
        <f>-MAX(0,W26)*Assumptions!$B$33</f>
        <v>-1.2149287359717127</v>
      </c>
    </row>
    <row r="28" spans="1:23" x14ac:dyDescent="0.3">
      <c r="A28" t="s">
        <v>113</v>
      </c>
      <c r="B28" s="37" t="s">
        <v>78</v>
      </c>
      <c r="C28" s="43" t="str">
        <f>IF(C26&lt;0,"LOSS","ok")</f>
        <v>ok</v>
      </c>
      <c r="D28" s="43" t="str">
        <f t="shared" ref="D28:W28" si="9">IF(D26&lt;0,"LOSS","ok")</f>
        <v>ok</v>
      </c>
      <c r="E28" s="43" t="str">
        <f t="shared" si="9"/>
        <v>ok</v>
      </c>
      <c r="F28" s="43" t="str">
        <f t="shared" si="9"/>
        <v>ok</v>
      </c>
      <c r="G28" s="43" t="str">
        <f t="shared" si="9"/>
        <v>ok</v>
      </c>
      <c r="H28" s="43" t="str">
        <f t="shared" si="9"/>
        <v>ok</v>
      </c>
      <c r="I28" s="43" t="str">
        <f t="shared" si="9"/>
        <v>ok</v>
      </c>
      <c r="J28" s="43" t="str">
        <f t="shared" si="9"/>
        <v>ok</v>
      </c>
      <c r="K28" s="43" t="str">
        <f t="shared" si="9"/>
        <v>ok</v>
      </c>
      <c r="L28" s="43" t="str">
        <f t="shared" si="9"/>
        <v>ok</v>
      </c>
      <c r="M28" s="43" t="str">
        <f t="shared" si="9"/>
        <v>ok</v>
      </c>
      <c r="N28" s="43" t="str">
        <f t="shared" si="9"/>
        <v>ok</v>
      </c>
      <c r="O28" s="43" t="str">
        <f t="shared" si="9"/>
        <v>ok</v>
      </c>
      <c r="P28" s="43" t="str">
        <f t="shared" si="9"/>
        <v>ok</v>
      </c>
      <c r="Q28" s="43" t="str">
        <f t="shared" si="9"/>
        <v>ok</v>
      </c>
      <c r="R28" s="43" t="str">
        <f t="shared" si="9"/>
        <v>ok</v>
      </c>
      <c r="S28" s="43" t="str">
        <f t="shared" si="9"/>
        <v>ok</v>
      </c>
      <c r="T28" s="43" t="str">
        <f t="shared" si="9"/>
        <v>ok</v>
      </c>
      <c r="U28" s="43" t="str">
        <f t="shared" si="9"/>
        <v>ok</v>
      </c>
      <c r="V28" s="43" t="str">
        <f t="shared" si="9"/>
        <v>ok</v>
      </c>
      <c r="W28" s="43" t="str">
        <f t="shared" si="9"/>
        <v>ok</v>
      </c>
    </row>
    <row r="30" spans="1:23" x14ac:dyDescent="0.3">
      <c r="A30" s="4" t="s">
        <v>114</v>
      </c>
      <c r="B30" s="36"/>
    </row>
    <row r="31" spans="1:23" x14ac:dyDescent="0.3">
      <c r="A31" t="s">
        <v>104</v>
      </c>
      <c r="B31" s="37" t="s">
        <v>25</v>
      </c>
      <c r="C31" s="41">
        <f>C17</f>
        <v>0</v>
      </c>
      <c r="D31" s="41">
        <f t="shared" ref="D31:W31" si="10">D17</f>
        <v>5.6984999999999992</v>
      </c>
      <c r="E31" s="41">
        <f t="shared" si="10"/>
        <v>5.7659774999999982</v>
      </c>
      <c r="F31" s="41">
        <f t="shared" si="10"/>
        <v>5.8339271624999967</v>
      </c>
      <c r="G31" s="41">
        <f t="shared" si="10"/>
        <v>5.9023398699374967</v>
      </c>
      <c r="H31" s="41">
        <f t="shared" si="10"/>
        <v>5.9712058819865579</v>
      </c>
      <c r="I31" s="41">
        <f t="shared" si="10"/>
        <v>6.0405148116363554</v>
      </c>
      <c r="J31" s="41">
        <f t="shared" si="10"/>
        <v>6.1102556004734989</v>
      </c>
      <c r="K31" s="41">
        <f t="shared" si="10"/>
        <v>6.1804164931430776</v>
      </c>
      <c r="L31" s="41">
        <f t="shared" si="10"/>
        <v>6.2509850109625766</v>
      </c>
      <c r="M31" s="41">
        <f t="shared" si="10"/>
        <v>6.3219479246620365</v>
      </c>
      <c r="N31" s="41">
        <f t="shared" si="10"/>
        <v>6.3932912262230399</v>
      </c>
      <c r="O31" s="41">
        <f t="shared" si="10"/>
        <v>6.46500009978819</v>
      </c>
      <c r="P31" s="41">
        <f t="shared" si="10"/>
        <v>6.5370588916119727</v>
      </c>
      <c r="Q31" s="41">
        <f t="shared" si="10"/>
        <v>6.6094510790229197</v>
      </c>
      <c r="R31" s="41">
        <f t="shared" si="10"/>
        <v>6.6821592383661326</v>
      </c>
      <c r="S31" s="41">
        <f t="shared" si="10"/>
        <v>6.7551650118942321</v>
      </c>
      <c r="T31" s="41">
        <f t="shared" si="10"/>
        <v>6.8284490735738306</v>
      </c>
      <c r="U31" s="41">
        <f t="shared" si="10"/>
        <v>6.9019910937736588</v>
      </c>
      <c r="V31" s="41">
        <f t="shared" si="10"/>
        <v>6.9757697027993721</v>
      </c>
      <c r="W31" s="41">
        <f t="shared" si="10"/>
        <v>7.0497624532390422</v>
      </c>
    </row>
    <row r="32" spans="1:23" x14ac:dyDescent="0.3">
      <c r="A32" t="s">
        <v>115</v>
      </c>
      <c r="B32" s="37" t="s">
        <v>25</v>
      </c>
      <c r="C32" s="41">
        <f>C27</f>
        <v>0</v>
      </c>
      <c r="D32" s="41">
        <f t="shared" ref="D32:W32" si="11">D27</f>
        <v>-0.80954999999999977</v>
      </c>
      <c r="E32" s="41">
        <f t="shared" si="11"/>
        <v>-0.82979324999999948</v>
      </c>
      <c r="F32" s="41">
        <f t="shared" si="11"/>
        <v>-0.85017814874999897</v>
      </c>
      <c r="G32" s="41">
        <f t="shared" si="11"/>
        <v>-0.87070196098124897</v>
      </c>
      <c r="H32" s="41">
        <f t="shared" si="11"/>
        <v>-0.89136176459596739</v>
      </c>
      <c r="I32" s="41">
        <f t="shared" si="11"/>
        <v>-0.91215444349090657</v>
      </c>
      <c r="J32" s="41">
        <f t="shared" si="11"/>
        <v>-0.93307668014204959</v>
      </c>
      <c r="K32" s="41">
        <f t="shared" si="11"/>
        <v>-0.95412494794292324</v>
      </c>
      <c r="L32" s="41">
        <f t="shared" si="11"/>
        <v>-0.9752955032887729</v>
      </c>
      <c r="M32" s="41">
        <f t="shared" si="11"/>
        <v>-0.99658437739861094</v>
      </c>
      <c r="N32" s="41">
        <f t="shared" si="11"/>
        <v>-1.017987367866912</v>
      </c>
      <c r="O32" s="41">
        <f t="shared" si="11"/>
        <v>-1.039500029936457</v>
      </c>
      <c r="P32" s="41">
        <f t="shared" si="11"/>
        <v>-1.0611176674835918</v>
      </c>
      <c r="Q32" s="41">
        <f t="shared" si="11"/>
        <v>-1.082835323706876</v>
      </c>
      <c r="R32" s="41">
        <f t="shared" si="11"/>
        <v>-1.1046477715098397</v>
      </c>
      <c r="S32" s="41">
        <f t="shared" si="11"/>
        <v>-1.1265495035682696</v>
      </c>
      <c r="T32" s="41">
        <f t="shared" si="11"/>
        <v>-1.1485347220721491</v>
      </c>
      <c r="U32" s="41">
        <f t="shared" si="11"/>
        <v>-1.1705973281320976</v>
      </c>
      <c r="V32" s="41">
        <f t="shared" si="11"/>
        <v>-1.1927309108398116</v>
      </c>
      <c r="W32" s="41">
        <f t="shared" si="11"/>
        <v>-1.2149287359717127</v>
      </c>
    </row>
    <row r="33" spans="1:23" x14ac:dyDescent="0.3">
      <c r="A33" t="s">
        <v>116</v>
      </c>
      <c r="B33" s="37" t="s">
        <v>25</v>
      </c>
      <c r="C33" s="44">
        <v>0</v>
      </c>
      <c r="D33" s="44">
        <v>0</v>
      </c>
      <c r="E33" s="44">
        <v>0</v>
      </c>
      <c r="F33" s="44">
        <v>0</v>
      </c>
      <c r="G33" s="44">
        <v>0</v>
      </c>
      <c r="H33" s="44">
        <v>0</v>
      </c>
      <c r="I33" s="44">
        <v>0</v>
      </c>
      <c r="J33" s="44">
        <v>0</v>
      </c>
      <c r="K33" s="44">
        <v>0</v>
      </c>
      <c r="L33" s="44">
        <v>0</v>
      </c>
      <c r="M33" s="44">
        <v>0</v>
      </c>
      <c r="N33" s="44">
        <v>0</v>
      </c>
      <c r="O33" s="44">
        <v>0</v>
      </c>
      <c r="P33" s="44">
        <v>0</v>
      </c>
      <c r="Q33" s="44">
        <v>0</v>
      </c>
      <c r="R33" s="44">
        <v>0</v>
      </c>
      <c r="S33" s="44">
        <v>0</v>
      </c>
      <c r="T33" s="44">
        <v>0</v>
      </c>
      <c r="U33" s="44">
        <v>0</v>
      </c>
      <c r="V33" s="44">
        <v>0</v>
      </c>
      <c r="W33" s="44">
        <v>0</v>
      </c>
    </row>
    <row r="34" spans="1:23" x14ac:dyDescent="0.3">
      <c r="A34" s="45" t="s">
        <v>117</v>
      </c>
      <c r="B34" s="46" t="s">
        <v>25</v>
      </c>
      <c r="C34" s="47">
        <f>C31+C32+C33</f>
        <v>0</v>
      </c>
      <c r="D34" s="47">
        <f t="shared" ref="D34:W34" si="12">D31+D32+D33</f>
        <v>4.8889499999999995</v>
      </c>
      <c r="E34" s="47">
        <f t="shared" si="12"/>
        <v>4.9361842499999984</v>
      </c>
      <c r="F34" s="47">
        <f t="shared" si="12"/>
        <v>4.983749013749998</v>
      </c>
      <c r="G34" s="47">
        <f t="shared" si="12"/>
        <v>5.031637908956248</v>
      </c>
      <c r="H34" s="47">
        <f t="shared" si="12"/>
        <v>5.0798441173905902</v>
      </c>
      <c r="I34" s="47">
        <f t="shared" si="12"/>
        <v>5.128360368145449</v>
      </c>
      <c r="J34" s="47">
        <f t="shared" si="12"/>
        <v>5.1771789203314498</v>
      </c>
      <c r="K34" s="47">
        <f t="shared" si="12"/>
        <v>5.2262915452001542</v>
      </c>
      <c r="L34" s="47">
        <f t="shared" si="12"/>
        <v>5.2756895076738033</v>
      </c>
      <c r="M34" s="47">
        <f t="shared" si="12"/>
        <v>5.3253635472634251</v>
      </c>
      <c r="N34" s="47">
        <f t="shared" si="12"/>
        <v>5.3753038583561281</v>
      </c>
      <c r="O34" s="47">
        <f t="shared" si="12"/>
        <v>5.4255000698517328</v>
      </c>
      <c r="P34" s="47">
        <f t="shared" si="12"/>
        <v>5.4759412241283805</v>
      </c>
      <c r="Q34" s="47">
        <f t="shared" si="12"/>
        <v>5.526615755316044</v>
      </c>
      <c r="R34" s="47">
        <f t="shared" si="12"/>
        <v>5.5775114668562926</v>
      </c>
      <c r="S34" s="47">
        <f t="shared" si="12"/>
        <v>5.6286155083259626</v>
      </c>
      <c r="T34" s="47">
        <f t="shared" si="12"/>
        <v>5.6799143515016812</v>
      </c>
      <c r="U34" s="47">
        <f t="shared" si="12"/>
        <v>5.7313937656415614</v>
      </c>
      <c r="V34" s="47">
        <f t="shared" si="12"/>
        <v>5.7830387919595605</v>
      </c>
      <c r="W34" s="47">
        <f t="shared" si="12"/>
        <v>5.8348337172673297</v>
      </c>
    </row>
    <row r="36" spans="1:23" x14ac:dyDescent="0.3">
      <c r="A36" t="s">
        <v>118</v>
      </c>
      <c r="B36" s="37" t="s">
        <v>25</v>
      </c>
      <c r="C36" s="41">
        <f>-C22</f>
        <v>-60</v>
      </c>
      <c r="D36" s="41">
        <f t="shared" ref="D36:W36" si="13">-D22</f>
        <v>0</v>
      </c>
      <c r="E36" s="41">
        <f t="shared" si="13"/>
        <v>0</v>
      </c>
      <c r="F36" s="41">
        <f t="shared" si="13"/>
        <v>0</v>
      </c>
      <c r="G36" s="41">
        <f t="shared" si="13"/>
        <v>0</v>
      </c>
      <c r="H36" s="41">
        <f t="shared" si="13"/>
        <v>0</v>
      </c>
      <c r="I36" s="41">
        <f t="shared" si="13"/>
        <v>0</v>
      </c>
      <c r="J36" s="41">
        <f t="shared" si="13"/>
        <v>0</v>
      </c>
      <c r="K36" s="41">
        <f t="shared" si="13"/>
        <v>0</v>
      </c>
      <c r="L36" s="41">
        <f t="shared" si="13"/>
        <v>0</v>
      </c>
      <c r="M36" s="41">
        <f t="shared" si="13"/>
        <v>0</v>
      </c>
      <c r="N36" s="41">
        <f t="shared" si="13"/>
        <v>0</v>
      </c>
      <c r="O36" s="41">
        <f t="shared" si="13"/>
        <v>0</v>
      </c>
      <c r="P36" s="41">
        <f t="shared" si="13"/>
        <v>0</v>
      </c>
      <c r="Q36" s="41">
        <f t="shared" si="13"/>
        <v>0</v>
      </c>
      <c r="R36" s="41">
        <f t="shared" si="13"/>
        <v>0</v>
      </c>
      <c r="S36" s="41">
        <f t="shared" si="13"/>
        <v>0</v>
      </c>
      <c r="T36" s="41">
        <f t="shared" si="13"/>
        <v>0</v>
      </c>
      <c r="U36" s="41">
        <f t="shared" si="13"/>
        <v>0</v>
      </c>
      <c r="V36" s="41">
        <f t="shared" si="13"/>
        <v>0</v>
      </c>
      <c r="W36" s="41">
        <f t="shared" si="13"/>
        <v>0</v>
      </c>
    </row>
    <row r="37" spans="1:23" x14ac:dyDescent="0.3">
      <c r="A37" s="12" t="s">
        <v>119</v>
      </c>
      <c r="B37" s="37" t="s">
        <v>25</v>
      </c>
      <c r="C37" s="40">
        <f>C34+C36</f>
        <v>-60</v>
      </c>
      <c r="D37" s="40">
        <f t="shared" ref="D37:W37" si="14">D34+D36</f>
        <v>4.8889499999999995</v>
      </c>
      <c r="E37" s="40">
        <f t="shared" si="14"/>
        <v>4.9361842499999984</v>
      </c>
      <c r="F37" s="40">
        <f t="shared" si="14"/>
        <v>4.983749013749998</v>
      </c>
      <c r="G37" s="40">
        <f t="shared" si="14"/>
        <v>5.031637908956248</v>
      </c>
      <c r="H37" s="40">
        <f t="shared" si="14"/>
        <v>5.0798441173905902</v>
      </c>
      <c r="I37" s="40">
        <f t="shared" si="14"/>
        <v>5.128360368145449</v>
      </c>
      <c r="J37" s="40">
        <f t="shared" si="14"/>
        <v>5.1771789203314498</v>
      </c>
      <c r="K37" s="40">
        <f t="shared" si="14"/>
        <v>5.2262915452001542</v>
      </c>
      <c r="L37" s="40">
        <f t="shared" si="14"/>
        <v>5.2756895076738033</v>
      </c>
      <c r="M37" s="40">
        <f t="shared" si="14"/>
        <v>5.3253635472634251</v>
      </c>
      <c r="N37" s="40">
        <f t="shared" si="14"/>
        <v>5.3753038583561281</v>
      </c>
      <c r="O37" s="40">
        <f t="shared" si="14"/>
        <v>5.4255000698517328</v>
      </c>
      <c r="P37" s="40">
        <f t="shared" si="14"/>
        <v>5.4759412241283805</v>
      </c>
      <c r="Q37" s="40">
        <f t="shared" si="14"/>
        <v>5.526615755316044</v>
      </c>
      <c r="R37" s="40">
        <f t="shared" si="14"/>
        <v>5.5775114668562926</v>
      </c>
      <c r="S37" s="40">
        <f t="shared" si="14"/>
        <v>5.6286155083259626</v>
      </c>
      <c r="T37" s="40">
        <f t="shared" si="14"/>
        <v>5.6799143515016812</v>
      </c>
      <c r="U37" s="40">
        <f t="shared" si="14"/>
        <v>5.7313937656415614</v>
      </c>
      <c r="V37" s="40">
        <f t="shared" si="14"/>
        <v>5.7830387919595605</v>
      </c>
      <c r="W37" s="40">
        <f t="shared" si="14"/>
        <v>5.8348337172673297</v>
      </c>
    </row>
    <row r="38" spans="1:23" x14ac:dyDescent="0.3">
      <c r="A38" t="s">
        <v>120</v>
      </c>
      <c r="B38" s="37" t="s">
        <v>25</v>
      </c>
      <c r="C38" s="41">
        <f>C37</f>
        <v>-60</v>
      </c>
      <c r="D38" s="41">
        <f>C38+D37</f>
        <v>-55.111049999999999</v>
      </c>
      <c r="E38" s="41">
        <f t="shared" ref="E38:W38" si="15">D38+E37</f>
        <v>-50.174865750000002</v>
      </c>
      <c r="F38" s="41">
        <f t="shared" si="15"/>
        <v>-45.191116736250002</v>
      </c>
      <c r="G38" s="41">
        <f t="shared" si="15"/>
        <v>-40.159478827293754</v>
      </c>
      <c r="H38" s="41">
        <f t="shared" si="15"/>
        <v>-35.079634709903161</v>
      </c>
      <c r="I38" s="41">
        <f t="shared" si="15"/>
        <v>-29.95127434175771</v>
      </c>
      <c r="J38" s="41">
        <f t="shared" si="15"/>
        <v>-24.77409542142626</v>
      </c>
      <c r="K38" s="41">
        <f t="shared" si="15"/>
        <v>-19.547803876226105</v>
      </c>
      <c r="L38" s="41">
        <f t="shared" si="15"/>
        <v>-14.272114368552302</v>
      </c>
      <c r="M38" s="41">
        <f t="shared" si="15"/>
        <v>-8.9467508212888767</v>
      </c>
      <c r="N38" s="41">
        <f t="shared" si="15"/>
        <v>-3.5714469629327485</v>
      </c>
      <c r="O38" s="41">
        <f t="shared" si="15"/>
        <v>1.8540531069189843</v>
      </c>
      <c r="P38" s="41">
        <f t="shared" si="15"/>
        <v>7.3299943310473648</v>
      </c>
      <c r="Q38" s="41">
        <f t="shared" si="15"/>
        <v>12.856610086363409</v>
      </c>
      <c r="R38" s="41">
        <f t="shared" si="15"/>
        <v>18.4341215532197</v>
      </c>
      <c r="S38" s="41">
        <f t="shared" si="15"/>
        <v>24.062737061545661</v>
      </c>
      <c r="T38" s="41">
        <f t="shared" si="15"/>
        <v>29.742651413047341</v>
      </c>
      <c r="U38" s="41">
        <f t="shared" si="15"/>
        <v>35.474045178688904</v>
      </c>
      <c r="V38" s="41">
        <f t="shared" si="15"/>
        <v>41.257083970648466</v>
      </c>
      <c r="W38" s="41">
        <f t="shared" si="15"/>
        <v>47.091917687915796</v>
      </c>
    </row>
    <row r="39" spans="1:23" x14ac:dyDescent="0.3">
      <c r="A39" t="s">
        <v>121</v>
      </c>
      <c r="B39" s="37" t="s">
        <v>69</v>
      </c>
      <c r="C39" s="48">
        <f>1/(1+Assumptions!$B$34)^C4</f>
        <v>1</v>
      </c>
      <c r="D39" s="48">
        <f>1/(1+Assumptions!$B$34)^D4</f>
        <v>0.90909090909090906</v>
      </c>
      <c r="E39" s="48">
        <f>1/(1+Assumptions!$B$34)^E4</f>
        <v>0.82644628099173545</v>
      </c>
      <c r="F39" s="48">
        <f>1/(1+Assumptions!$B$34)^F4</f>
        <v>0.75131480090157754</v>
      </c>
      <c r="G39" s="48">
        <f>1/(1+Assumptions!$B$34)^G4</f>
        <v>0.68301345536507052</v>
      </c>
      <c r="H39" s="48">
        <f>1/(1+Assumptions!$B$34)^H4</f>
        <v>0.62092132305915493</v>
      </c>
      <c r="I39" s="48">
        <f>1/(1+Assumptions!$B$34)^I4</f>
        <v>0.56447393005377722</v>
      </c>
      <c r="J39" s="48">
        <f>1/(1+Assumptions!$B$34)^J4</f>
        <v>0.51315811823070645</v>
      </c>
      <c r="K39" s="48">
        <f>1/(1+Assumptions!$B$34)^K4</f>
        <v>0.46650738020973315</v>
      </c>
      <c r="L39" s="48">
        <f>1/(1+Assumptions!$B$34)^L4</f>
        <v>0.42409761837248466</v>
      </c>
      <c r="M39" s="48">
        <f>1/(1+Assumptions!$B$34)^M4</f>
        <v>0.38554328942953148</v>
      </c>
      <c r="N39" s="48">
        <f>1/(1+Assumptions!$B$34)^N4</f>
        <v>0.3504938994813922</v>
      </c>
      <c r="O39" s="48">
        <f>1/(1+Assumptions!$B$34)^O4</f>
        <v>0.31863081771035656</v>
      </c>
      <c r="P39" s="48">
        <f>1/(1+Assumptions!$B$34)^P4</f>
        <v>0.28966437973668779</v>
      </c>
      <c r="Q39" s="48">
        <f>1/(1+Assumptions!$B$34)^Q4</f>
        <v>0.26333125430607973</v>
      </c>
      <c r="R39" s="48">
        <f>1/(1+Assumptions!$B$34)^R4</f>
        <v>0.23939204936916339</v>
      </c>
      <c r="S39" s="48">
        <f>1/(1+Assumptions!$B$34)^S4</f>
        <v>0.21762913579014853</v>
      </c>
      <c r="T39" s="48">
        <f>1/(1+Assumptions!$B$34)^T4</f>
        <v>0.19784466890013502</v>
      </c>
      <c r="U39" s="48">
        <f>1/(1+Assumptions!$B$34)^U4</f>
        <v>0.17985878990921364</v>
      </c>
      <c r="V39" s="48">
        <f>1/(1+Assumptions!$B$34)^V4</f>
        <v>0.16350799082655781</v>
      </c>
      <c r="W39" s="48">
        <f>1/(1+Assumptions!$B$34)^W4</f>
        <v>0.14864362802414349</v>
      </c>
    </row>
    <row r="40" spans="1:23" x14ac:dyDescent="0.3">
      <c r="A40" t="s">
        <v>122</v>
      </c>
      <c r="B40" s="37" t="s">
        <v>25</v>
      </c>
      <c r="C40" s="41">
        <f>C37*C39</f>
        <v>-60</v>
      </c>
      <c r="D40" s="41">
        <f t="shared" ref="D40:W40" si="16">D37*D39</f>
        <v>4.4444999999999997</v>
      </c>
      <c r="E40" s="41">
        <f t="shared" si="16"/>
        <v>4.0794911157024778</v>
      </c>
      <c r="F40" s="41">
        <f t="shared" si="16"/>
        <v>3.7443643980090133</v>
      </c>
      <c r="G40" s="41">
        <f t="shared" si="16"/>
        <v>3.4366763943420851</v>
      </c>
      <c r="H40" s="41">
        <f t="shared" si="16"/>
        <v>3.1541835303044303</v>
      </c>
      <c r="I40" s="41">
        <f t="shared" si="16"/>
        <v>2.8948257317390973</v>
      </c>
      <c r="J40" s="41">
        <f t="shared" si="16"/>
        <v>2.6567113925009673</v>
      </c>
      <c r="K40" s="41">
        <f t="shared" si="16"/>
        <v>2.4381035769636021</v>
      </c>
      <c r="L40" s="41">
        <f t="shared" si="16"/>
        <v>2.2374073554771661</v>
      </c>
      <c r="M40" s="41">
        <f t="shared" si="16"/>
        <v>2.0531581794200591</v>
      </c>
      <c r="N40" s="41">
        <f t="shared" si="16"/>
        <v>1.8840112102126125</v>
      </c>
      <c r="O40" s="41">
        <f t="shared" si="16"/>
        <v>1.7287315237444543</v>
      </c>
      <c r="P40" s="41">
        <f t="shared" si="16"/>
        <v>1.5861851181617062</v>
      </c>
      <c r="Q40" s="41">
        <f t="shared" si="16"/>
        <v>1.455330658915116</v>
      </c>
      <c r="R40" s="41">
        <f t="shared" si="16"/>
        <v>1.3352119004307366</v>
      </c>
      <c r="S40" s="41">
        <f t="shared" si="16"/>
        <v>1.2249507287720067</v>
      </c>
      <c r="T40" s="41">
        <f t="shared" si="16"/>
        <v>1.1237407742539753</v>
      </c>
      <c r="U40" s="41">
        <f t="shared" si="16"/>
        <v>1.0308415471815024</v>
      </c>
      <c r="V40" s="41">
        <f t="shared" si="16"/>
        <v>0.94557305374535183</v>
      </c>
      <c r="W40" s="41">
        <f t="shared" si="16"/>
        <v>0.86731085265221541</v>
      </c>
    </row>
    <row r="42" spans="1:23" x14ac:dyDescent="0.3">
      <c r="A42" s="27" t="s">
        <v>123</v>
      </c>
      <c r="B42" s="49"/>
      <c r="C42" s="50" t="s">
        <v>4</v>
      </c>
    </row>
    <row r="43" spans="1:23" x14ac:dyDescent="0.3">
      <c r="A43" s="12" t="s">
        <v>124</v>
      </c>
      <c r="B43" s="37" t="s">
        <v>14</v>
      </c>
      <c r="C43" s="51">
        <f>IRR(C37:W37)</f>
        <v>6.0665744754367479E-2</v>
      </c>
    </row>
    <row r="44" spans="1:23" x14ac:dyDescent="0.3">
      <c r="A44" s="12" t="s">
        <v>125</v>
      </c>
      <c r="B44" s="37" t="s">
        <v>25</v>
      </c>
      <c r="C44" s="52">
        <f>SUM(C40:W40)</f>
        <v>-15.678690957471437</v>
      </c>
    </row>
    <row r="45" spans="1:23" x14ac:dyDescent="0.3">
      <c r="A45" t="s">
        <v>126</v>
      </c>
      <c r="B45" s="37" t="s">
        <v>25</v>
      </c>
      <c r="C45" s="53">
        <f>C37+NPV(Assumptions!$B$34,D37:W37)</f>
        <v>-15.678690957471431</v>
      </c>
    </row>
    <row r="46" spans="1:23" x14ac:dyDescent="0.3">
      <c r="A46" t="s">
        <v>127</v>
      </c>
      <c r="B46" s="37" t="s">
        <v>78</v>
      </c>
      <c r="C46" s="43" t="str">
        <f>IF(ABS(C44-C45)&lt;0.001,"ok","CHECK")</f>
        <v>ok</v>
      </c>
    </row>
    <row r="47" spans="1:23" x14ac:dyDescent="0.3">
      <c r="A47" t="s">
        <v>128</v>
      </c>
      <c r="B47" s="37" t="s">
        <v>39</v>
      </c>
      <c r="C47" s="13">
        <f>IF(W38&lt;0,"Not repaid",COUNTIF(D38:W38,"&lt;0")+1)</f>
        <v>12</v>
      </c>
    </row>
    <row r="48" spans="1:23" x14ac:dyDescent="0.3">
      <c r="A48" t="s">
        <v>129</v>
      </c>
      <c r="B48" s="37" t="s">
        <v>69</v>
      </c>
      <c r="C48" s="54">
        <f>SUM(D37:W37)/-C37</f>
        <v>1.7848652947985961</v>
      </c>
    </row>
    <row r="49" spans="1:3" x14ac:dyDescent="0.3">
      <c r="A49" t="s">
        <v>130</v>
      </c>
      <c r="B49" s="37" t="s">
        <v>17</v>
      </c>
      <c r="C49" s="13">
        <f>SUM(C10:W10)</f>
        <v>1839.6000000000001</v>
      </c>
    </row>
    <row r="51" spans="1:3" x14ac:dyDescent="0.3">
      <c r="A51" s="123" t="s">
        <v>131</v>
      </c>
      <c r="B51" s="124"/>
      <c r="C51" s="125" t="s">
        <v>4</v>
      </c>
    </row>
    <row r="52" spans="1:3" x14ac:dyDescent="0.3">
      <c r="A52" t="s">
        <v>132</v>
      </c>
      <c r="B52" s="37" t="s">
        <v>25</v>
      </c>
      <c r="C52" s="53">
        <f>SUMPRODUCT($D$39:$W$39,$D$12:$W$12)</f>
        <v>64.91071225186964</v>
      </c>
    </row>
    <row r="53" spans="1:3" x14ac:dyDescent="0.3">
      <c r="A53" t="s">
        <v>133</v>
      </c>
      <c r="B53" s="37" t="s">
        <v>25</v>
      </c>
      <c r="C53" s="53">
        <f>SUMPRODUCT($D$39:$W$39,$D$15:$W$15)</f>
        <v>-12.540566973661235</v>
      </c>
    </row>
    <row r="54" spans="1:3" x14ac:dyDescent="0.3">
      <c r="A54" t="s">
        <v>134</v>
      </c>
      <c r="B54" s="37" t="s">
        <v>25</v>
      </c>
      <c r="C54" s="53">
        <f>Assumptions!$B$33*Assumptions!$B$32*SUM($D$39:$W$39)</f>
        <v>7.6622073477827017</v>
      </c>
    </row>
    <row r="55" spans="1:3" x14ac:dyDescent="0.3">
      <c r="A55" s="12" t="s">
        <v>135</v>
      </c>
      <c r="B55" s="37" t="s">
        <v>69</v>
      </c>
      <c r="C55" s="126">
        <f>(Assumptions!$B$15-(1-Assumptions!$B$33)*C53-C54)/((1-Assumptions!$B$33)*C52)</f>
        <v>1.3450606096006863</v>
      </c>
    </row>
    <row r="56" spans="1:3" x14ac:dyDescent="0.3">
      <c r="A56" s="12" t="s">
        <v>136</v>
      </c>
      <c r="B56" s="37" t="s">
        <v>100</v>
      </c>
      <c r="C56" s="127">
        <f>Assumptions!$B$23*C55</f>
        <v>0.10087954572005146</v>
      </c>
    </row>
    <row r="57" spans="1:3" x14ac:dyDescent="0.3">
      <c r="A57" s="12" t="s">
        <v>137</v>
      </c>
      <c r="B57" s="37" t="s">
        <v>14</v>
      </c>
      <c r="C57" s="77">
        <f>Assumptions!$B$9*C55</f>
        <v>0.28246272801614414</v>
      </c>
    </row>
    <row r="58" spans="1:3" x14ac:dyDescent="0.3">
      <c r="A58" s="12" t="s">
        <v>138</v>
      </c>
      <c r="B58" s="37" t="s">
        <v>25</v>
      </c>
      <c r="C58" s="26">
        <f>(1-Assumptions!$B$33)*(C52+C53)/(1-Assumptions!$B$33*SUM($D$39:$W$39)/Assumptions!$B$31)</f>
        <v>42.025962315618763</v>
      </c>
    </row>
    <row r="59" spans="1:3" x14ac:dyDescent="0.3">
      <c r="A59" t="s">
        <v>139</v>
      </c>
      <c r="B59" s="37" t="s">
        <v>25</v>
      </c>
      <c r="C59" s="128">
        <f>-Assumptions!$B$15+(1-Assumptions!$B$33)*(C52*C55+C53)+C54</f>
        <v>-1.6875389974302379E-14</v>
      </c>
    </row>
  </sheetData>
  <pageMargins left="0.7" right="0.7" top="0.75" bottom="0.75" header="0.3" footer="0.3"/>
  <pageSetup paperSize="0" firstPageNumber="0" fitToHeight="0" orientation="landscape"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83CE-449E-4573-99F7-788B03F08951}">
  <sheetPr>
    <tabColor rgb="FFC55A11"/>
    <pageSetUpPr fitToPage="1"/>
  </sheetPr>
  <dimension ref="A1:W101"/>
  <sheetViews>
    <sheetView workbookViewId="0">
      <pane xSplit="3" topLeftCell="D1" activePane="topRight" state="frozen"/>
      <selection pane="topRight"/>
    </sheetView>
  </sheetViews>
  <sheetFormatPr defaultRowHeight="14.4" x14ac:dyDescent="0.3"/>
  <cols>
    <col min="1" max="1" width="55.33203125" customWidth="1"/>
    <col min="2" max="2" width="10.44140625" customWidth="1"/>
    <col min="3" max="23" width="13" customWidth="1"/>
  </cols>
  <sheetData>
    <row r="1" spans="1:23" ht="18" x14ac:dyDescent="0.35">
      <c r="A1" s="63" t="s">
        <v>314</v>
      </c>
    </row>
    <row r="2" spans="1:23" x14ac:dyDescent="0.3">
      <c r="A2" s="30" t="s">
        <v>140</v>
      </c>
    </row>
    <row r="4" spans="1:23" x14ac:dyDescent="0.3">
      <c r="A4" s="56" t="s">
        <v>93</v>
      </c>
      <c r="B4" s="57" t="s">
        <v>5</v>
      </c>
      <c r="C4" s="60">
        <f>Model!C4</f>
        <v>0</v>
      </c>
      <c r="D4" s="60">
        <f>Model!D4</f>
        <v>1</v>
      </c>
      <c r="E4" s="60">
        <f>Model!E4</f>
        <v>2</v>
      </c>
      <c r="F4" s="60">
        <f>Model!F4</f>
        <v>3</v>
      </c>
      <c r="G4" s="60">
        <f>Model!G4</f>
        <v>4</v>
      </c>
      <c r="H4" s="60">
        <f>Model!H4</f>
        <v>5</v>
      </c>
      <c r="I4" s="60">
        <f>Model!I4</f>
        <v>6</v>
      </c>
      <c r="J4" s="60">
        <f>Model!J4</f>
        <v>7</v>
      </c>
      <c r="K4" s="60">
        <f>Model!K4</f>
        <v>8</v>
      </c>
      <c r="L4" s="60">
        <f>Model!L4</f>
        <v>9</v>
      </c>
      <c r="M4" s="60">
        <f>Model!M4</f>
        <v>10</v>
      </c>
      <c r="N4" s="60">
        <f>Model!N4</f>
        <v>11</v>
      </c>
      <c r="O4" s="60">
        <f>Model!O4</f>
        <v>12</v>
      </c>
      <c r="P4" s="60">
        <f>Model!P4</f>
        <v>13</v>
      </c>
      <c r="Q4" s="60">
        <f>Model!Q4</f>
        <v>14</v>
      </c>
      <c r="R4" s="60">
        <f>Model!R4</f>
        <v>15</v>
      </c>
      <c r="S4" s="60">
        <f>Model!S4</f>
        <v>16</v>
      </c>
      <c r="T4" s="60">
        <f>Model!T4</f>
        <v>17</v>
      </c>
      <c r="U4" s="60">
        <f>Model!U4</f>
        <v>18</v>
      </c>
      <c r="V4" s="60">
        <f>Model!V4</f>
        <v>19</v>
      </c>
      <c r="W4" s="60">
        <f>Model!W4</f>
        <v>20</v>
      </c>
    </row>
    <row r="5" spans="1:23" x14ac:dyDescent="0.3">
      <c r="A5" s="56" t="s">
        <v>94</v>
      </c>
      <c r="B5" s="59"/>
      <c r="C5" s="60">
        <f>Model!C5</f>
        <v>2026</v>
      </c>
      <c r="D5" s="60">
        <f>Model!D5</f>
        <v>2027</v>
      </c>
      <c r="E5" s="60">
        <f>Model!E5</f>
        <v>2028</v>
      </c>
      <c r="F5" s="60">
        <f>Model!F5</f>
        <v>2029</v>
      </c>
      <c r="G5" s="60">
        <f>Model!G5</f>
        <v>2030</v>
      </c>
      <c r="H5" s="60">
        <f>Model!H5</f>
        <v>2031</v>
      </c>
      <c r="I5" s="60">
        <f>Model!I5</f>
        <v>2032</v>
      </c>
      <c r="J5" s="60">
        <f>Model!J5</f>
        <v>2033</v>
      </c>
      <c r="K5" s="60">
        <f>Model!K5</f>
        <v>2034</v>
      </c>
      <c r="L5" s="60">
        <f>Model!L5</f>
        <v>2035</v>
      </c>
      <c r="M5" s="60">
        <f>Model!M5</f>
        <v>2036</v>
      </c>
      <c r="N5" s="60">
        <f>Model!N5</f>
        <v>2037</v>
      </c>
      <c r="O5" s="60">
        <f>Model!O5</f>
        <v>2038</v>
      </c>
      <c r="P5" s="60">
        <f>Model!P5</f>
        <v>2039</v>
      </c>
      <c r="Q5" s="60">
        <f>Model!Q5</f>
        <v>2040</v>
      </c>
      <c r="R5" s="60">
        <f>Model!R5</f>
        <v>2041</v>
      </c>
      <c r="S5" s="60">
        <f>Model!S5</f>
        <v>2042</v>
      </c>
      <c r="T5" s="60">
        <f>Model!T5</f>
        <v>2043</v>
      </c>
      <c r="U5" s="60">
        <f>Model!U5</f>
        <v>2044</v>
      </c>
      <c r="V5" s="60">
        <f>Model!V5</f>
        <v>2045</v>
      </c>
      <c r="W5" s="60">
        <f>Model!W5</f>
        <v>2046</v>
      </c>
    </row>
    <row r="7" spans="1:23" x14ac:dyDescent="0.3">
      <c r="A7" s="21" t="s">
        <v>141</v>
      </c>
      <c r="B7" s="64"/>
    </row>
    <row r="8" spans="1:23" x14ac:dyDescent="0.3">
      <c r="A8" t="s">
        <v>142</v>
      </c>
      <c r="B8" s="37" t="s">
        <v>25</v>
      </c>
      <c r="C8" s="65">
        <f>Model!C34</f>
        <v>0</v>
      </c>
      <c r="D8" s="65">
        <f>Model!D34</f>
        <v>4.8889499999999995</v>
      </c>
      <c r="E8" s="65">
        <f>Model!E34</f>
        <v>4.9361842499999984</v>
      </c>
      <c r="F8" s="65">
        <f>Model!F34</f>
        <v>4.983749013749998</v>
      </c>
      <c r="G8" s="65">
        <f>Model!G34</f>
        <v>5.031637908956248</v>
      </c>
      <c r="H8" s="65">
        <f>Model!H34</f>
        <v>5.0798441173905902</v>
      </c>
      <c r="I8" s="65">
        <f>Model!I34</f>
        <v>5.128360368145449</v>
      </c>
      <c r="J8" s="65">
        <f>Model!J34</f>
        <v>5.1771789203314498</v>
      </c>
      <c r="K8" s="65">
        <f>Model!K34</f>
        <v>5.2262915452001542</v>
      </c>
      <c r="L8" s="65">
        <f>Model!L34</f>
        <v>5.2756895076738033</v>
      </c>
      <c r="M8" s="65">
        <f>Model!M34</f>
        <v>5.3253635472634251</v>
      </c>
      <c r="N8" s="65">
        <f>Model!N34</f>
        <v>5.3753038583561281</v>
      </c>
      <c r="O8" s="65">
        <f>Model!O34</f>
        <v>5.4255000698517328</v>
      </c>
      <c r="P8" s="65">
        <f>Model!P34</f>
        <v>5.4759412241283805</v>
      </c>
      <c r="Q8" s="65">
        <f>Model!Q34</f>
        <v>5.526615755316044</v>
      </c>
      <c r="R8" s="65">
        <f>Model!R34</f>
        <v>5.5775114668562926</v>
      </c>
      <c r="S8" s="65">
        <f>Model!S34</f>
        <v>5.6286155083259626</v>
      </c>
      <c r="T8" s="65">
        <f>Model!T34</f>
        <v>5.6799143515016812</v>
      </c>
      <c r="U8" s="65">
        <f>Model!U34</f>
        <v>5.7313937656415614</v>
      </c>
      <c r="V8" s="65">
        <f>Model!V34</f>
        <v>5.7830387919595605</v>
      </c>
      <c r="W8" s="65">
        <f>Model!W34</f>
        <v>5.8348337172673297</v>
      </c>
    </row>
    <row r="9" spans="1:23" x14ac:dyDescent="0.3">
      <c r="A9" t="s">
        <v>143</v>
      </c>
      <c r="B9" s="37" t="s">
        <v>78</v>
      </c>
      <c r="C9" s="35">
        <f>IF(AND(C4&gt;=1,C4&lt;=Assumptions!$B$38),1,0)</f>
        <v>0</v>
      </c>
      <c r="D9" s="35">
        <f>IF(AND(D4&gt;=1,D4&lt;=Assumptions!$B$38),1,0)</f>
        <v>1</v>
      </c>
      <c r="E9" s="35">
        <f>IF(AND(E4&gt;=1,E4&lt;=Assumptions!$B$38),1,0)</f>
        <v>1</v>
      </c>
      <c r="F9" s="35">
        <f>IF(AND(F4&gt;=1,F4&lt;=Assumptions!$B$38),1,0)</f>
        <v>1</v>
      </c>
      <c r="G9" s="35">
        <f>IF(AND(G4&gt;=1,G4&lt;=Assumptions!$B$38),1,0)</f>
        <v>1</v>
      </c>
      <c r="H9" s="35">
        <f>IF(AND(H4&gt;=1,H4&lt;=Assumptions!$B$38),1,0)</f>
        <v>1</v>
      </c>
      <c r="I9" s="35">
        <f>IF(AND(I4&gt;=1,I4&lt;=Assumptions!$B$38),1,0)</f>
        <v>1</v>
      </c>
      <c r="J9" s="35">
        <f>IF(AND(J4&gt;=1,J4&lt;=Assumptions!$B$38),1,0)</f>
        <v>1</v>
      </c>
      <c r="K9" s="35">
        <f>IF(AND(K4&gt;=1,K4&lt;=Assumptions!$B$38),1,0)</f>
        <v>1</v>
      </c>
      <c r="L9" s="35">
        <f>IF(AND(L4&gt;=1,L4&lt;=Assumptions!$B$38),1,0)</f>
        <v>1</v>
      </c>
      <c r="M9" s="35">
        <f>IF(AND(M4&gt;=1,M4&lt;=Assumptions!$B$38),1,0)</f>
        <v>1</v>
      </c>
      <c r="N9" s="35">
        <f>IF(AND(N4&gt;=1,N4&lt;=Assumptions!$B$38),1,0)</f>
        <v>1</v>
      </c>
      <c r="O9" s="35">
        <f>IF(AND(O4&gt;=1,O4&lt;=Assumptions!$B$38),1,0)</f>
        <v>1</v>
      </c>
      <c r="P9" s="35">
        <f>IF(AND(P4&gt;=1,P4&lt;=Assumptions!$B$38),1,0)</f>
        <v>1</v>
      </c>
      <c r="Q9" s="35">
        <f>IF(AND(Q4&gt;=1,Q4&lt;=Assumptions!$B$38),1,0)</f>
        <v>1</v>
      </c>
      <c r="R9" s="35">
        <f>IF(AND(R4&gt;=1,R4&lt;=Assumptions!$B$38),1,0)</f>
        <v>1</v>
      </c>
      <c r="S9" s="35">
        <f>IF(AND(S4&gt;=1,S4&lt;=Assumptions!$B$38),1,0)</f>
        <v>0</v>
      </c>
      <c r="T9" s="35">
        <f>IF(AND(T4&gt;=1,T4&lt;=Assumptions!$B$38),1,0)</f>
        <v>0</v>
      </c>
      <c r="U9" s="35">
        <f>IF(AND(U4&gt;=1,U4&lt;=Assumptions!$B$38),1,0)</f>
        <v>0</v>
      </c>
      <c r="V9" s="35">
        <f>IF(AND(V4&gt;=1,V4&lt;=Assumptions!$B$38),1,0)</f>
        <v>0</v>
      </c>
      <c r="W9" s="35">
        <f>IF(AND(W4&gt;=1,W4&lt;=Assumptions!$B$38),1,0)</f>
        <v>0</v>
      </c>
    </row>
    <row r="10" spans="1:23" x14ac:dyDescent="0.3">
      <c r="A10" t="s">
        <v>144</v>
      </c>
      <c r="B10" s="37" t="s">
        <v>25</v>
      </c>
      <c r="C10" s="41">
        <f>C9*C8/Assumptions!$B$41</f>
        <v>0</v>
      </c>
      <c r="D10" s="41">
        <f>D9*D8/Assumptions!$B$41</f>
        <v>3.7607307692307685</v>
      </c>
      <c r="E10" s="41">
        <f>E9*E8/Assumptions!$B$41</f>
        <v>3.7970648076923061</v>
      </c>
      <c r="F10" s="41">
        <f>F9*F8/Assumptions!$B$41</f>
        <v>3.8336530874999983</v>
      </c>
      <c r="G10" s="41">
        <f>G9*G8/Assumptions!$B$41</f>
        <v>3.8704906991971137</v>
      </c>
      <c r="H10" s="41">
        <f>H9*H8/Assumptions!$B$41</f>
        <v>3.9075723979927615</v>
      </c>
      <c r="I10" s="41">
        <f>I9*I8/Assumptions!$B$41</f>
        <v>3.9448925908811145</v>
      </c>
      <c r="J10" s="41">
        <f>J9*J8/Assumptions!$B$41</f>
        <v>3.9824453233318842</v>
      </c>
      <c r="K10" s="41">
        <f>K9*K8/Assumptions!$B$41</f>
        <v>4.0202242655385803</v>
      </c>
      <c r="L10" s="41">
        <f>L9*L8/Assumptions!$B$41</f>
        <v>4.058222698210618</v>
      </c>
      <c r="M10" s="41">
        <f>M9*M8/Assumptions!$B$41</f>
        <v>4.0964334978949424</v>
      </c>
      <c r="N10" s="41">
        <f>N9*N8/Assumptions!$B$41</f>
        <v>4.1348491218124064</v>
      </c>
      <c r="O10" s="41">
        <f>O9*O8/Assumptions!$B$41</f>
        <v>4.1734615921936404</v>
      </c>
      <c r="P10" s="41">
        <f>P9*P8/Assumptions!$B$41</f>
        <v>4.2122624800987545</v>
      </c>
      <c r="Q10" s="41">
        <f>Q9*Q8/Assumptions!$B$41</f>
        <v>4.2512428887046489</v>
      </c>
      <c r="R10" s="41">
        <f>R9*R8/Assumptions!$B$41</f>
        <v>4.2903934360433018</v>
      </c>
      <c r="S10" s="41">
        <f>S9*S8/Assumptions!$B$41</f>
        <v>0</v>
      </c>
      <c r="T10" s="41">
        <f>T9*T8/Assumptions!$B$41</f>
        <v>0</v>
      </c>
      <c r="U10" s="41">
        <f>U9*U8/Assumptions!$B$41</f>
        <v>0</v>
      </c>
      <c r="V10" s="41">
        <f>V9*V8/Assumptions!$B$41</f>
        <v>0</v>
      </c>
      <c r="W10" s="41">
        <f>W9*W8/Assumptions!$B$41</f>
        <v>0</v>
      </c>
    </row>
    <row r="11" spans="1:23" x14ac:dyDescent="0.3">
      <c r="A11" t="s">
        <v>145</v>
      </c>
      <c r="B11" s="37" t="s">
        <v>69</v>
      </c>
      <c r="C11" s="48">
        <f>IF(C9=0,0,1/(1+Assumptions!$B$39)^C4)</f>
        <v>0</v>
      </c>
      <c r="D11" s="48">
        <f>IF(D9=0,0,1/(1+Assumptions!$B$39)^D4)</f>
        <v>0.92592592592592582</v>
      </c>
      <c r="E11" s="48">
        <f>IF(E9=0,0,1/(1+Assumptions!$B$39)^E4)</f>
        <v>0.85733882030178321</v>
      </c>
      <c r="F11" s="48">
        <f>IF(F9=0,0,1/(1+Assumptions!$B$39)^F4)</f>
        <v>0.79383224102016958</v>
      </c>
      <c r="G11" s="48">
        <f>IF(G9=0,0,1/(1+Assumptions!$B$39)^G4)</f>
        <v>0.73502985279645328</v>
      </c>
      <c r="H11" s="48">
        <f>IF(H9=0,0,1/(1+Assumptions!$B$39)^H4)</f>
        <v>0.68058319703375303</v>
      </c>
      <c r="I11" s="48">
        <f>IF(I9=0,0,1/(1+Assumptions!$B$39)^I4)</f>
        <v>0.63016962688310452</v>
      </c>
      <c r="J11" s="48">
        <f>IF(J9=0,0,1/(1+Assumptions!$B$39)^J4)</f>
        <v>0.58349039526213387</v>
      </c>
      <c r="K11" s="48">
        <f>IF(K9=0,0,1/(1+Assumptions!$B$39)^K4)</f>
        <v>0.54026888450197574</v>
      </c>
      <c r="L11" s="48">
        <f>IF(L9=0,0,1/(1+Assumptions!$B$39)^L4)</f>
        <v>0.50024896713145905</v>
      </c>
      <c r="M11" s="48">
        <f>IF(M9=0,0,1/(1+Assumptions!$B$39)^M4)</f>
        <v>0.46319348808468425</v>
      </c>
      <c r="N11" s="48">
        <f>IF(N9=0,0,1/(1+Assumptions!$B$39)^N4)</f>
        <v>0.42888285933767062</v>
      </c>
      <c r="O11" s="48">
        <f>IF(O9=0,0,1/(1+Assumptions!$B$39)^O4)</f>
        <v>0.39711375864599124</v>
      </c>
      <c r="P11" s="48">
        <f>IF(P9=0,0,1/(1+Assumptions!$B$39)^P4)</f>
        <v>0.36769792467221413</v>
      </c>
      <c r="Q11" s="48">
        <f>IF(Q9=0,0,1/(1+Assumptions!$B$39)^Q4)</f>
        <v>0.34046104136316119</v>
      </c>
      <c r="R11" s="48">
        <f>IF(R9=0,0,1/(1+Assumptions!$B$39)^R4)</f>
        <v>0.31524170496588994</v>
      </c>
      <c r="S11" s="48">
        <f>IF(S9=0,0,1/(1+Assumptions!$B$39)^S4)</f>
        <v>0</v>
      </c>
      <c r="T11" s="48">
        <f>IF(T9=0,0,1/(1+Assumptions!$B$39)^T4)</f>
        <v>0</v>
      </c>
      <c r="U11" s="48">
        <f>IF(U9=0,0,1/(1+Assumptions!$B$39)^U4)</f>
        <v>0</v>
      </c>
      <c r="V11" s="48">
        <f>IF(V9=0,0,1/(1+Assumptions!$B$39)^V4)</f>
        <v>0</v>
      </c>
      <c r="W11" s="48">
        <f>IF(W9=0,0,1/(1+Assumptions!$B$39)^W4)</f>
        <v>0</v>
      </c>
    </row>
    <row r="12" spans="1:23" x14ac:dyDescent="0.3">
      <c r="A12" t="s">
        <v>146</v>
      </c>
      <c r="B12" s="37" t="s">
        <v>25</v>
      </c>
      <c r="C12" s="41">
        <f>C10*C11</f>
        <v>0</v>
      </c>
      <c r="D12" s="41">
        <f t="shared" ref="D12:W12" si="0">D10*D11</f>
        <v>3.4821581196581186</v>
      </c>
      <c r="E12" s="41">
        <f t="shared" si="0"/>
        <v>3.255371062836339</v>
      </c>
      <c r="F12" s="41">
        <f t="shared" si="0"/>
        <v>3.0432774217440159</v>
      </c>
      <c r="G12" s="41">
        <f t="shared" si="0"/>
        <v>2.8449262088808962</v>
      </c>
      <c r="H12" s="41">
        <f t="shared" si="0"/>
        <v>2.6594281152667625</v>
      </c>
      <c r="I12" s="41">
        <f t="shared" si="0"/>
        <v>2.4859514920894754</v>
      </c>
      <c r="J12" s="41">
        <f t="shared" si="0"/>
        <v>2.3237185958207576</v>
      </c>
      <c r="K12" s="41">
        <f t="shared" si="0"/>
        <v>2.1720020793903037</v>
      </c>
      <c r="L12" s="41">
        <f t="shared" si="0"/>
        <v>2.0301217131693043</v>
      </c>
      <c r="M12" s="41">
        <f t="shared" si="0"/>
        <v>1.8974413205969023</v>
      </c>
      <c r="N12" s="41">
        <f t="shared" si="0"/>
        <v>1.7733659142927611</v>
      </c>
      <c r="O12" s="41">
        <f t="shared" si="0"/>
        <v>1.6573390194406996</v>
      </c>
      <c r="P12" s="41">
        <f t="shared" si="0"/>
        <v>1.5488401721069456</v>
      </c>
      <c r="Q12" s="41">
        <f t="shared" si="0"/>
        <v>1.4473825809761183</v>
      </c>
      <c r="R12" s="41">
        <f t="shared" si="0"/>
        <v>1.3525109417527532</v>
      </c>
      <c r="S12" s="41">
        <f t="shared" si="0"/>
        <v>0</v>
      </c>
      <c r="T12" s="41">
        <f t="shared" si="0"/>
        <v>0</v>
      </c>
      <c r="U12" s="41">
        <f t="shared" si="0"/>
        <v>0</v>
      </c>
      <c r="V12" s="41">
        <f t="shared" si="0"/>
        <v>0</v>
      </c>
      <c r="W12" s="41">
        <f t="shared" si="0"/>
        <v>0</v>
      </c>
    </row>
    <row r="14" spans="1:23" x14ac:dyDescent="0.3">
      <c r="A14" s="66" t="s">
        <v>147</v>
      </c>
      <c r="B14" s="67"/>
      <c r="C14" s="68" t="s">
        <v>4</v>
      </c>
    </row>
    <row r="15" spans="1:23" x14ac:dyDescent="0.3">
      <c r="A15" t="s">
        <v>148</v>
      </c>
      <c r="B15" s="37" t="s">
        <v>25</v>
      </c>
      <c r="C15" s="15">
        <f>SUM(C12:W12)</f>
        <v>33.97383475802215</v>
      </c>
    </row>
    <row r="16" spans="1:23" x14ac:dyDescent="0.3">
      <c r="A16" t="s">
        <v>149</v>
      </c>
      <c r="B16" s="37" t="s">
        <v>25</v>
      </c>
      <c r="C16" s="69">
        <f>Assumptions!$B$45</f>
        <v>42</v>
      </c>
    </row>
    <row r="17" spans="1:4" x14ac:dyDescent="0.3">
      <c r="A17" s="70" t="s">
        <v>150</v>
      </c>
      <c r="B17" s="71" t="s">
        <v>25</v>
      </c>
      <c r="C17" s="72">
        <f>MIN(C15,C16)</f>
        <v>33.97383475802215</v>
      </c>
    </row>
    <row r="18" spans="1:4" x14ac:dyDescent="0.3">
      <c r="A18" s="70" t="s">
        <v>151</v>
      </c>
      <c r="B18" s="73"/>
      <c r="C18" s="74" t="str">
        <f>IF(C15&lt;C16,"DSCR covenant binds",IF(C15&gt;C16,"70% gearing cap binds","Both bind equally"))</f>
        <v>DSCR covenant binds</v>
      </c>
    </row>
    <row r="19" spans="1:4" x14ac:dyDescent="0.3">
      <c r="A19" t="s">
        <v>152</v>
      </c>
      <c r="B19" s="37" t="s">
        <v>14</v>
      </c>
      <c r="C19" s="20">
        <f>C17/Assumptions!$B$15</f>
        <v>0.56623057930036913</v>
      </c>
    </row>
    <row r="20" spans="1:4" x14ac:dyDescent="0.3">
      <c r="A20" t="s">
        <v>153</v>
      </c>
      <c r="B20" s="37" t="s">
        <v>69</v>
      </c>
      <c r="C20" s="75">
        <f>C17/C15</f>
        <v>1</v>
      </c>
    </row>
    <row r="21" spans="1:4" x14ac:dyDescent="0.3">
      <c r="A21" t="s">
        <v>154</v>
      </c>
      <c r="B21" s="37" t="s">
        <v>69</v>
      </c>
      <c r="C21" s="54">
        <f>Assumptions!$B$41/C20</f>
        <v>1.3</v>
      </c>
    </row>
    <row r="22" spans="1:4" x14ac:dyDescent="0.3">
      <c r="A22" t="s">
        <v>155</v>
      </c>
      <c r="B22" s="37" t="s">
        <v>25</v>
      </c>
      <c r="C22" s="15">
        <f>C16-C17</f>
        <v>8.02616524197785</v>
      </c>
    </row>
    <row r="24" spans="1:4" x14ac:dyDescent="0.3">
      <c r="A24" s="21" t="s">
        <v>156</v>
      </c>
      <c r="B24" s="64"/>
      <c r="C24" s="22" t="s">
        <v>25</v>
      </c>
      <c r="D24" s="22" t="s">
        <v>157</v>
      </c>
    </row>
    <row r="25" spans="1:4" x14ac:dyDescent="0.3">
      <c r="A25" s="76" t="s">
        <v>158</v>
      </c>
    </row>
    <row r="26" spans="1:4" x14ac:dyDescent="0.3">
      <c r="A26" t="s">
        <v>159</v>
      </c>
      <c r="C26" s="15">
        <f>$C$17</f>
        <v>33.97383475802215</v>
      </c>
      <c r="D26" s="20">
        <f>C26/$C$28</f>
        <v>0.54902446918111891</v>
      </c>
    </row>
    <row r="27" spans="1:4" x14ac:dyDescent="0.3">
      <c r="A27" t="s">
        <v>160</v>
      </c>
      <c r="C27" s="15">
        <f>C32-C26</f>
        <v>27.906530626593238</v>
      </c>
      <c r="D27" s="20">
        <f>C27/$C$28</f>
        <v>0.45097553081888109</v>
      </c>
    </row>
    <row r="28" spans="1:4" x14ac:dyDescent="0.3">
      <c r="A28" s="12" t="s">
        <v>161</v>
      </c>
      <c r="C28" s="26">
        <f>SUM(C26:C27)</f>
        <v>61.880365384615388</v>
      </c>
      <c r="D28" s="77">
        <f>C28/$C$28</f>
        <v>1</v>
      </c>
    </row>
    <row r="29" spans="1:4" x14ac:dyDescent="0.3">
      <c r="A29" s="76" t="s">
        <v>162</v>
      </c>
    </row>
    <row r="30" spans="1:4" x14ac:dyDescent="0.3">
      <c r="A30" t="s">
        <v>163</v>
      </c>
      <c r="C30" s="69">
        <f>Assumptions!$B$15</f>
        <v>60</v>
      </c>
      <c r="D30" s="20">
        <f>C30/$C$32</f>
        <v>0.96961289137631879</v>
      </c>
    </row>
    <row r="31" spans="1:4" x14ac:dyDescent="0.3">
      <c r="A31" s="12" t="s">
        <v>164</v>
      </c>
      <c r="C31" s="26">
        <f>$C$53</f>
        <v>1.8803653846153843</v>
      </c>
      <c r="D31" s="77">
        <f>C31/$C$32</f>
        <v>3.038710862368111E-2</v>
      </c>
    </row>
    <row r="32" spans="1:4" x14ac:dyDescent="0.3">
      <c r="A32" s="12" t="s">
        <v>165</v>
      </c>
      <c r="C32" s="26">
        <f>C30+C31</f>
        <v>61.880365384615388</v>
      </c>
      <c r="D32" s="77">
        <f>C32/$C$32</f>
        <v>1</v>
      </c>
    </row>
    <row r="34" spans="1:23" x14ac:dyDescent="0.3">
      <c r="A34" t="s">
        <v>166</v>
      </c>
      <c r="C34" s="43" t="str">
        <f>IF(ABS(C28-C32)&lt;0.001,"ok","CHECK")</f>
        <v>ok</v>
      </c>
    </row>
    <row r="35" spans="1:23" x14ac:dyDescent="0.3">
      <c r="A35" t="s">
        <v>167</v>
      </c>
      <c r="C35" s="20">
        <f>C26/C32</f>
        <v>0.54902446918111891</v>
      </c>
      <c r="D35" s="20">
        <f>C27/C32</f>
        <v>0.45097553081888109</v>
      </c>
    </row>
    <row r="36" spans="1:23" x14ac:dyDescent="0.3">
      <c r="A36" s="3" t="s">
        <v>168</v>
      </c>
    </row>
    <row r="38" spans="1:23" x14ac:dyDescent="0.3">
      <c r="A38" s="21" t="s">
        <v>169</v>
      </c>
      <c r="B38" s="64"/>
    </row>
    <row r="39" spans="1:23" x14ac:dyDescent="0.3">
      <c r="A39" t="s">
        <v>170</v>
      </c>
      <c r="B39" s="37" t="s">
        <v>25</v>
      </c>
      <c r="C39" s="41">
        <v>0</v>
      </c>
      <c r="D39" s="41">
        <f>C46</f>
        <v>33.97383475802215</v>
      </c>
      <c r="E39" s="41">
        <f t="shared" ref="E39:W39" si="1">D46</f>
        <v>32.366901154048541</v>
      </c>
      <c r="F39" s="41">
        <f t="shared" si="1"/>
        <v>30.589628717526274</v>
      </c>
      <c r="G39" s="41">
        <f t="shared" si="1"/>
        <v>28.628097964303379</v>
      </c>
      <c r="H39" s="41">
        <f t="shared" si="1"/>
        <v>26.467281497370969</v>
      </c>
      <c r="I39" s="41">
        <f t="shared" si="1"/>
        <v>24.090955759468972</v>
      </c>
      <c r="J39" s="41">
        <f t="shared" si="1"/>
        <v>21.481605740713206</v>
      </c>
      <c r="K39" s="41">
        <f t="shared" si="1"/>
        <v>18.620322078138596</v>
      </c>
      <c r="L39" s="41">
        <f t="shared" si="1"/>
        <v>15.486689939020316</v>
      </c>
      <c r="M39" s="41">
        <f t="shared" si="1"/>
        <v>12.058669031199731</v>
      </c>
      <c r="N39" s="41">
        <f t="shared" si="1"/>
        <v>8.3124640311165265</v>
      </c>
      <c r="O39" s="41">
        <f t="shared" si="1"/>
        <v>4.2223846635215816</v>
      </c>
      <c r="P39" s="41">
        <f t="shared" si="1"/>
        <v>0</v>
      </c>
      <c r="Q39" s="41">
        <f t="shared" si="1"/>
        <v>0</v>
      </c>
      <c r="R39" s="41">
        <f t="shared" si="1"/>
        <v>0</v>
      </c>
      <c r="S39" s="41">
        <f t="shared" si="1"/>
        <v>0</v>
      </c>
      <c r="T39" s="41">
        <f t="shared" si="1"/>
        <v>0</v>
      </c>
      <c r="U39" s="41">
        <f t="shared" si="1"/>
        <v>0</v>
      </c>
      <c r="V39" s="41">
        <f t="shared" si="1"/>
        <v>0</v>
      </c>
      <c r="W39" s="41">
        <f t="shared" si="1"/>
        <v>0</v>
      </c>
    </row>
    <row r="40" spans="1:23" x14ac:dyDescent="0.3">
      <c r="A40" t="s">
        <v>171</v>
      </c>
      <c r="B40" s="37" t="s">
        <v>25</v>
      </c>
      <c r="C40" s="41">
        <f>IF(C4=0,$C$17,0)</f>
        <v>33.97383475802215</v>
      </c>
      <c r="D40" s="41">
        <f t="shared" ref="D40:W40" si="2">IF(D4=0,$C$17,0)</f>
        <v>0</v>
      </c>
      <c r="E40" s="41">
        <f t="shared" si="2"/>
        <v>0</v>
      </c>
      <c r="F40" s="41">
        <f t="shared" si="2"/>
        <v>0</v>
      </c>
      <c r="G40" s="41">
        <f t="shared" si="2"/>
        <v>0</v>
      </c>
      <c r="H40" s="41">
        <f t="shared" si="2"/>
        <v>0</v>
      </c>
      <c r="I40" s="41">
        <f t="shared" si="2"/>
        <v>0</v>
      </c>
      <c r="J40" s="41">
        <f t="shared" si="2"/>
        <v>0</v>
      </c>
      <c r="K40" s="41">
        <f t="shared" si="2"/>
        <v>0</v>
      </c>
      <c r="L40" s="41">
        <f t="shared" si="2"/>
        <v>0</v>
      </c>
      <c r="M40" s="41">
        <f t="shared" si="2"/>
        <v>0</v>
      </c>
      <c r="N40" s="41">
        <f t="shared" si="2"/>
        <v>0</v>
      </c>
      <c r="O40" s="41">
        <f t="shared" si="2"/>
        <v>0</v>
      </c>
      <c r="P40" s="41">
        <f t="shared" si="2"/>
        <v>0</v>
      </c>
      <c r="Q40" s="41">
        <f t="shared" si="2"/>
        <v>0</v>
      </c>
      <c r="R40" s="41">
        <f t="shared" si="2"/>
        <v>0</v>
      </c>
      <c r="S40" s="41">
        <f t="shared" si="2"/>
        <v>0</v>
      </c>
      <c r="T40" s="41">
        <f t="shared" si="2"/>
        <v>0</v>
      </c>
      <c r="U40" s="41">
        <f t="shared" si="2"/>
        <v>0</v>
      </c>
      <c r="V40" s="41">
        <f t="shared" si="2"/>
        <v>0</v>
      </c>
      <c r="W40" s="41">
        <f t="shared" si="2"/>
        <v>0</v>
      </c>
    </row>
    <row r="41" spans="1:23" x14ac:dyDescent="0.3">
      <c r="A41" t="s">
        <v>172</v>
      </c>
      <c r="B41" s="37" t="s">
        <v>25</v>
      </c>
      <c r="C41" s="41">
        <f>C39*Assumptions!$B$39</f>
        <v>0</v>
      </c>
      <c r="D41" s="41">
        <f>D39*Assumptions!$B$39</f>
        <v>2.7179067806417723</v>
      </c>
      <c r="E41" s="41">
        <f>E39*Assumptions!$B$39</f>
        <v>2.5893520923238835</v>
      </c>
      <c r="F41" s="41">
        <f>F39*Assumptions!$B$39</f>
        <v>2.4471702974021019</v>
      </c>
      <c r="G41" s="41">
        <f>G39*Assumptions!$B$39</f>
        <v>2.2902478371442703</v>
      </c>
      <c r="H41" s="41">
        <f>H39*Assumptions!$B$39</f>
        <v>2.1173825197896776</v>
      </c>
      <c r="I41" s="41">
        <f>I39*Assumptions!$B$39</f>
        <v>1.9272764607575179</v>
      </c>
      <c r="J41" s="41">
        <f>J39*Assumptions!$B$39</f>
        <v>1.7185284592570564</v>
      </c>
      <c r="K41" s="41">
        <f>K39*Assumptions!$B$39</f>
        <v>1.4896257662510877</v>
      </c>
      <c r="L41" s="41">
        <f>L39*Assumptions!$B$39</f>
        <v>1.2389351951216252</v>
      </c>
      <c r="M41" s="41">
        <f>M39*Assumptions!$B$39</f>
        <v>0.96469352249597851</v>
      </c>
      <c r="N41" s="41">
        <f>N39*Assumptions!$B$39</f>
        <v>0.66499712248932219</v>
      </c>
      <c r="O41" s="41">
        <f>O39*Assumptions!$B$39</f>
        <v>0.33779077308172656</v>
      </c>
      <c r="P41" s="41">
        <f>P39*Assumptions!$B$39</f>
        <v>0</v>
      </c>
      <c r="Q41" s="41">
        <f>Q39*Assumptions!$B$39</f>
        <v>0</v>
      </c>
      <c r="R41" s="41">
        <f>R39*Assumptions!$B$39</f>
        <v>0</v>
      </c>
      <c r="S41" s="41">
        <f>S39*Assumptions!$B$39</f>
        <v>0</v>
      </c>
      <c r="T41" s="41">
        <f>T39*Assumptions!$B$39</f>
        <v>0</v>
      </c>
      <c r="U41" s="41">
        <f>U39*Assumptions!$B$39</f>
        <v>0</v>
      </c>
      <c r="V41" s="41">
        <f>V39*Assumptions!$B$39</f>
        <v>0</v>
      </c>
      <c r="W41" s="41">
        <f>W39*Assumptions!$B$39</f>
        <v>0</v>
      </c>
    </row>
    <row r="42" spans="1:23" x14ac:dyDescent="0.3">
      <c r="A42" t="s">
        <v>173</v>
      </c>
      <c r="B42" s="37" t="s">
        <v>25</v>
      </c>
      <c r="C42" s="41">
        <f>MIN(C10*$C$20,C39+C41)</f>
        <v>0</v>
      </c>
      <c r="D42" s="41">
        <f t="shared" ref="D42:W42" si="3">MIN(D10*$C$20,D39+D41)</f>
        <v>3.7607307692307685</v>
      </c>
      <c r="E42" s="41">
        <f t="shared" si="3"/>
        <v>3.7970648076923061</v>
      </c>
      <c r="F42" s="41">
        <f t="shared" si="3"/>
        <v>3.8336530874999983</v>
      </c>
      <c r="G42" s="41">
        <f t="shared" si="3"/>
        <v>3.8704906991971137</v>
      </c>
      <c r="H42" s="41">
        <f t="shared" si="3"/>
        <v>3.9075723979927615</v>
      </c>
      <c r="I42" s="41">
        <f t="shared" si="3"/>
        <v>3.9448925908811145</v>
      </c>
      <c r="J42" s="41">
        <f t="shared" si="3"/>
        <v>3.9824453233318842</v>
      </c>
      <c r="K42" s="41">
        <f t="shared" si="3"/>
        <v>4.0202242655385803</v>
      </c>
      <c r="L42" s="41">
        <f t="shared" si="3"/>
        <v>4.058222698210618</v>
      </c>
      <c r="M42" s="41">
        <f t="shared" si="3"/>
        <v>4.0964334978949424</v>
      </c>
      <c r="N42" s="41">
        <f t="shared" si="3"/>
        <v>4.1348491218124064</v>
      </c>
      <c r="O42" s="41">
        <f t="shared" si="3"/>
        <v>4.1734615921936404</v>
      </c>
      <c r="P42" s="41">
        <f t="shared" si="3"/>
        <v>0</v>
      </c>
      <c r="Q42" s="41">
        <f t="shared" si="3"/>
        <v>0</v>
      </c>
      <c r="R42" s="41">
        <f t="shared" si="3"/>
        <v>0</v>
      </c>
      <c r="S42" s="41">
        <f t="shared" si="3"/>
        <v>0</v>
      </c>
      <c r="T42" s="41">
        <f t="shared" si="3"/>
        <v>0</v>
      </c>
      <c r="U42" s="41">
        <f t="shared" si="3"/>
        <v>0</v>
      </c>
      <c r="V42" s="41">
        <f t="shared" si="3"/>
        <v>0</v>
      </c>
      <c r="W42" s="41">
        <f t="shared" si="3"/>
        <v>0</v>
      </c>
    </row>
    <row r="43" spans="1:23" x14ac:dyDescent="0.3">
      <c r="A43" t="s">
        <v>174</v>
      </c>
      <c r="B43" s="37" t="s">
        <v>25</v>
      </c>
      <c r="C43" s="41">
        <f>C42-C41</f>
        <v>0</v>
      </c>
      <c r="D43" s="41">
        <f t="shared" ref="D43:W43" si="4">D42-D41</f>
        <v>1.0428239885889963</v>
      </c>
      <c r="E43" s="41">
        <f t="shared" si="4"/>
        <v>1.2077127153684226</v>
      </c>
      <c r="F43" s="41">
        <f t="shared" si="4"/>
        <v>1.3864827900978964</v>
      </c>
      <c r="G43" s="41">
        <f t="shared" si="4"/>
        <v>1.5802428620528435</v>
      </c>
      <c r="H43" s="41">
        <f t="shared" si="4"/>
        <v>1.7901898782030838</v>
      </c>
      <c r="I43" s="41">
        <f t="shared" si="4"/>
        <v>2.0176161301235966</v>
      </c>
      <c r="J43" s="41">
        <f t="shared" si="4"/>
        <v>2.2639168640748277</v>
      </c>
      <c r="K43" s="41">
        <f t="shared" si="4"/>
        <v>2.5305984992874926</v>
      </c>
      <c r="L43" s="41">
        <f t="shared" si="4"/>
        <v>2.8192875030889928</v>
      </c>
      <c r="M43" s="41">
        <f t="shared" si="4"/>
        <v>3.1317399753989639</v>
      </c>
      <c r="N43" s="41">
        <f t="shared" si="4"/>
        <v>3.4698519993230841</v>
      </c>
      <c r="O43" s="41">
        <f t="shared" si="4"/>
        <v>3.8356708191119138</v>
      </c>
      <c r="P43" s="41">
        <f t="shared" si="4"/>
        <v>0</v>
      </c>
      <c r="Q43" s="41">
        <f t="shared" si="4"/>
        <v>0</v>
      </c>
      <c r="R43" s="41">
        <f t="shared" si="4"/>
        <v>0</v>
      </c>
      <c r="S43" s="41">
        <f t="shared" si="4"/>
        <v>0</v>
      </c>
      <c r="T43" s="41">
        <f t="shared" si="4"/>
        <v>0</v>
      </c>
      <c r="U43" s="41">
        <f t="shared" si="4"/>
        <v>0</v>
      </c>
      <c r="V43" s="41">
        <f t="shared" si="4"/>
        <v>0</v>
      </c>
      <c r="W43" s="41">
        <f t="shared" si="4"/>
        <v>0</v>
      </c>
    </row>
    <row r="44" spans="1:23" x14ac:dyDescent="0.3">
      <c r="A44" t="s">
        <v>175</v>
      </c>
      <c r="B44" s="37" t="s">
        <v>25</v>
      </c>
      <c r="C44" s="41">
        <f>MIN(Assumptions!$B$44*Assumptions!$B$43*MAX(0,C8-C42),MAX(0,C39+C40-C43))</f>
        <v>0</v>
      </c>
      <c r="D44" s="41">
        <f>MIN(Assumptions!$B$44*Assumptions!$B$43*MAX(0,D8-D42),MAX(0,D39+D40-D43))</f>
        <v>0.56410961538461546</v>
      </c>
      <c r="E44" s="41">
        <f>MIN(Assumptions!$B$44*Assumptions!$B$43*MAX(0,E8-E42),MAX(0,E39+E40-E43))</f>
        <v>0.56955972115384612</v>
      </c>
      <c r="F44" s="41">
        <f>MIN(Assumptions!$B$44*Assumptions!$B$43*MAX(0,F8-F42),MAX(0,F39+F40-F43))</f>
        <v>0.57504796312499984</v>
      </c>
      <c r="G44" s="41">
        <f>MIN(Assumptions!$B$44*Assumptions!$B$43*MAX(0,G8-G42),MAX(0,G39+G40-G43))</f>
        <v>0.58057360487956711</v>
      </c>
      <c r="H44" s="41">
        <f>MIN(Assumptions!$B$44*Assumptions!$B$43*MAX(0,H8-H42),MAX(0,H39+H40-H43))</f>
        <v>0.58613585969891435</v>
      </c>
      <c r="I44" s="41">
        <f>MIN(Assumptions!$B$44*Assumptions!$B$43*MAX(0,I8-I42),MAX(0,I39+I40-I43))</f>
        <v>0.59173388863216725</v>
      </c>
      <c r="J44" s="41">
        <f>MIN(Assumptions!$B$44*Assumptions!$B$43*MAX(0,J8-J42),MAX(0,J39+J40-J43))</f>
        <v>0.5973667984997828</v>
      </c>
      <c r="K44" s="41">
        <f>MIN(Assumptions!$B$44*Assumptions!$B$43*MAX(0,K8-K42),MAX(0,K39+K40-K43))</f>
        <v>0.60303363983078695</v>
      </c>
      <c r="L44" s="41">
        <f>MIN(Assumptions!$B$44*Assumptions!$B$43*MAX(0,L8-L42),MAX(0,L39+L40-L43))</f>
        <v>0.60873340473159265</v>
      </c>
      <c r="M44" s="41">
        <f>MIN(Assumptions!$B$44*Assumptions!$B$43*MAX(0,M8-M42),MAX(0,M39+M40-M43))</f>
        <v>0.61446502468424136</v>
      </c>
      <c r="N44" s="41">
        <f>MIN(Assumptions!$B$44*Assumptions!$B$43*MAX(0,N8-N42),MAX(0,N39+N40-N43))</f>
        <v>0.62022736827186087</v>
      </c>
      <c r="O44" s="41">
        <f>MIN(Assumptions!$B$44*Assumptions!$B$43*MAX(0,O8-O42),MAX(0,O39+O40-O43))</f>
        <v>0.38671384440966783</v>
      </c>
      <c r="P44" s="41">
        <f>MIN(Assumptions!$B$44*Assumptions!$B$43*MAX(0,P8-P42),MAX(0,P39+P40-P43))</f>
        <v>0</v>
      </c>
      <c r="Q44" s="41">
        <f>MIN(Assumptions!$B$44*Assumptions!$B$43*MAX(0,Q8-Q42),MAX(0,Q39+Q40-Q43))</f>
        <v>0</v>
      </c>
      <c r="R44" s="41">
        <f>MIN(Assumptions!$B$44*Assumptions!$B$43*MAX(0,R8-R42),MAX(0,R39+R40-R43))</f>
        <v>0</v>
      </c>
      <c r="S44" s="41">
        <f>MIN(Assumptions!$B$44*Assumptions!$B$43*MAX(0,S8-S42),MAX(0,S39+S40-S43))</f>
        <v>0</v>
      </c>
      <c r="T44" s="41">
        <f>MIN(Assumptions!$B$44*Assumptions!$B$43*MAX(0,T8-T42),MAX(0,T39+T40-T43))</f>
        <v>0</v>
      </c>
      <c r="U44" s="41">
        <f>MIN(Assumptions!$B$44*Assumptions!$B$43*MAX(0,U8-U42),MAX(0,U39+U40-U43))</f>
        <v>0</v>
      </c>
      <c r="V44" s="41">
        <f>MIN(Assumptions!$B$44*Assumptions!$B$43*MAX(0,V8-V42),MAX(0,V39+V40-V43))</f>
        <v>0</v>
      </c>
      <c r="W44" s="41">
        <f>MIN(Assumptions!$B$44*Assumptions!$B$43*MAX(0,W8-W42),MAX(0,W39+W40-W43))</f>
        <v>0</v>
      </c>
    </row>
    <row r="45" spans="1:23" x14ac:dyDescent="0.3">
      <c r="A45" s="12" t="s">
        <v>176</v>
      </c>
      <c r="B45" s="37" t="s">
        <v>25</v>
      </c>
      <c r="C45" s="40">
        <f>C43+C44</f>
        <v>0</v>
      </c>
      <c r="D45" s="40">
        <f t="shared" ref="D45:W45" si="5">D43+D44</f>
        <v>1.6069336039736117</v>
      </c>
      <c r="E45" s="40">
        <f t="shared" si="5"/>
        <v>1.7772724365222687</v>
      </c>
      <c r="F45" s="40">
        <f t="shared" si="5"/>
        <v>1.9615307532228963</v>
      </c>
      <c r="G45" s="40">
        <f t="shared" si="5"/>
        <v>2.1608164669324106</v>
      </c>
      <c r="H45" s="40">
        <f t="shared" si="5"/>
        <v>2.3763257379019982</v>
      </c>
      <c r="I45" s="40">
        <f t="shared" si="5"/>
        <v>2.6093500187557641</v>
      </c>
      <c r="J45" s="40">
        <f t="shared" si="5"/>
        <v>2.8612836625746105</v>
      </c>
      <c r="K45" s="40">
        <f t="shared" si="5"/>
        <v>3.1336321391182795</v>
      </c>
      <c r="L45" s="40">
        <f t="shared" si="5"/>
        <v>3.4280209078205854</v>
      </c>
      <c r="M45" s="40">
        <f t="shared" si="5"/>
        <v>3.7462050000832052</v>
      </c>
      <c r="N45" s="40">
        <f t="shared" si="5"/>
        <v>4.0900793675949449</v>
      </c>
      <c r="O45" s="40">
        <f t="shared" si="5"/>
        <v>4.2223846635215816</v>
      </c>
      <c r="P45" s="40">
        <f t="shared" si="5"/>
        <v>0</v>
      </c>
      <c r="Q45" s="40">
        <f t="shared" si="5"/>
        <v>0</v>
      </c>
      <c r="R45" s="40">
        <f t="shared" si="5"/>
        <v>0</v>
      </c>
      <c r="S45" s="40">
        <f t="shared" si="5"/>
        <v>0</v>
      </c>
      <c r="T45" s="40">
        <f t="shared" si="5"/>
        <v>0</v>
      </c>
      <c r="U45" s="40">
        <f t="shared" si="5"/>
        <v>0</v>
      </c>
      <c r="V45" s="40">
        <f t="shared" si="5"/>
        <v>0</v>
      </c>
      <c r="W45" s="40">
        <f t="shared" si="5"/>
        <v>0</v>
      </c>
    </row>
    <row r="46" spans="1:23" x14ac:dyDescent="0.3">
      <c r="A46" s="12" t="s">
        <v>177</v>
      </c>
      <c r="B46" s="37" t="s">
        <v>25</v>
      </c>
      <c r="C46" s="40">
        <f>C39+C40-C45</f>
        <v>33.97383475802215</v>
      </c>
      <c r="D46" s="40">
        <f t="shared" ref="D46:W46" si="6">D39+D40-D45</f>
        <v>32.366901154048541</v>
      </c>
      <c r="E46" s="40">
        <f t="shared" si="6"/>
        <v>30.589628717526274</v>
      </c>
      <c r="F46" s="40">
        <f t="shared" si="6"/>
        <v>28.628097964303379</v>
      </c>
      <c r="G46" s="40">
        <f t="shared" si="6"/>
        <v>26.467281497370969</v>
      </c>
      <c r="H46" s="40">
        <f t="shared" si="6"/>
        <v>24.090955759468972</v>
      </c>
      <c r="I46" s="40">
        <f t="shared" si="6"/>
        <v>21.481605740713206</v>
      </c>
      <c r="J46" s="40">
        <f t="shared" si="6"/>
        <v>18.620322078138596</v>
      </c>
      <c r="K46" s="40">
        <f t="shared" si="6"/>
        <v>15.486689939020316</v>
      </c>
      <c r="L46" s="40">
        <f t="shared" si="6"/>
        <v>12.058669031199731</v>
      </c>
      <c r="M46" s="40">
        <f t="shared" si="6"/>
        <v>8.3124640311165265</v>
      </c>
      <c r="N46" s="40">
        <f t="shared" si="6"/>
        <v>4.2223846635215816</v>
      </c>
      <c r="O46" s="40">
        <f t="shared" si="6"/>
        <v>0</v>
      </c>
      <c r="P46" s="40">
        <f t="shared" si="6"/>
        <v>0</v>
      </c>
      <c r="Q46" s="40">
        <f t="shared" si="6"/>
        <v>0</v>
      </c>
      <c r="R46" s="40">
        <f t="shared" si="6"/>
        <v>0</v>
      </c>
      <c r="S46" s="40">
        <f t="shared" si="6"/>
        <v>0</v>
      </c>
      <c r="T46" s="40">
        <f t="shared" si="6"/>
        <v>0</v>
      </c>
      <c r="U46" s="40">
        <f t="shared" si="6"/>
        <v>0</v>
      </c>
      <c r="V46" s="40">
        <f t="shared" si="6"/>
        <v>0</v>
      </c>
      <c r="W46" s="40">
        <f t="shared" si="6"/>
        <v>0</v>
      </c>
    </row>
    <row r="47" spans="1:23" x14ac:dyDescent="0.3">
      <c r="A47" s="70" t="s">
        <v>178</v>
      </c>
      <c r="B47" s="71" t="s">
        <v>25</v>
      </c>
      <c r="C47" s="78">
        <f>C41+C45</f>
        <v>0</v>
      </c>
      <c r="D47" s="78">
        <f t="shared" ref="D47:W47" si="7">D41+D45</f>
        <v>4.324840384615384</v>
      </c>
      <c r="E47" s="78">
        <f t="shared" si="7"/>
        <v>4.3666245288461525</v>
      </c>
      <c r="F47" s="78">
        <f t="shared" si="7"/>
        <v>4.4087010506249982</v>
      </c>
      <c r="G47" s="78">
        <f t="shared" si="7"/>
        <v>4.4510643040766809</v>
      </c>
      <c r="H47" s="78">
        <f t="shared" si="7"/>
        <v>4.4937082576916758</v>
      </c>
      <c r="I47" s="78">
        <f t="shared" si="7"/>
        <v>4.5366264795132825</v>
      </c>
      <c r="J47" s="78">
        <f t="shared" si="7"/>
        <v>4.579812121831667</v>
      </c>
      <c r="K47" s="78">
        <f t="shared" si="7"/>
        <v>4.6232579053693676</v>
      </c>
      <c r="L47" s="78">
        <f t="shared" si="7"/>
        <v>4.6669561029422102</v>
      </c>
      <c r="M47" s="78">
        <f t="shared" si="7"/>
        <v>4.7108985225791837</v>
      </c>
      <c r="N47" s="78">
        <f t="shared" si="7"/>
        <v>4.7550764900842672</v>
      </c>
      <c r="O47" s="78">
        <f t="shared" si="7"/>
        <v>4.5601754366033083</v>
      </c>
      <c r="P47" s="78">
        <f t="shared" si="7"/>
        <v>0</v>
      </c>
      <c r="Q47" s="78">
        <f t="shared" si="7"/>
        <v>0</v>
      </c>
      <c r="R47" s="78">
        <f t="shared" si="7"/>
        <v>0</v>
      </c>
      <c r="S47" s="78">
        <f t="shared" si="7"/>
        <v>0</v>
      </c>
      <c r="T47" s="78">
        <f t="shared" si="7"/>
        <v>0</v>
      </c>
      <c r="U47" s="78">
        <f t="shared" si="7"/>
        <v>0</v>
      </c>
      <c r="V47" s="78">
        <f t="shared" si="7"/>
        <v>0</v>
      </c>
      <c r="W47" s="78">
        <f t="shared" si="7"/>
        <v>0</v>
      </c>
    </row>
    <row r="48" spans="1:23" x14ac:dyDescent="0.3">
      <c r="A48" s="12" t="s">
        <v>179</v>
      </c>
      <c r="B48" s="37" t="s">
        <v>69</v>
      </c>
      <c r="C48" s="79">
        <f>IF(C42&lt;=0,0,C8/C42)</f>
        <v>0</v>
      </c>
      <c r="D48" s="79">
        <f t="shared" ref="D48:W48" si="8">IF(D42&lt;=0,0,D8/D42)</f>
        <v>1.3</v>
      </c>
      <c r="E48" s="79">
        <f t="shared" si="8"/>
        <v>1.3</v>
      </c>
      <c r="F48" s="79">
        <f t="shared" si="8"/>
        <v>1.3</v>
      </c>
      <c r="G48" s="79">
        <f t="shared" si="8"/>
        <v>1.3</v>
      </c>
      <c r="H48" s="79">
        <f t="shared" si="8"/>
        <v>1.3</v>
      </c>
      <c r="I48" s="79">
        <f t="shared" si="8"/>
        <v>1.3</v>
      </c>
      <c r="J48" s="79">
        <f t="shared" si="8"/>
        <v>1.3</v>
      </c>
      <c r="K48" s="79">
        <f t="shared" si="8"/>
        <v>1.3</v>
      </c>
      <c r="L48" s="79">
        <f t="shared" si="8"/>
        <v>1.3</v>
      </c>
      <c r="M48" s="79">
        <f t="shared" si="8"/>
        <v>1.3</v>
      </c>
      <c r="N48" s="79">
        <f t="shared" si="8"/>
        <v>1.3</v>
      </c>
      <c r="O48" s="79">
        <f t="shared" si="8"/>
        <v>1.3</v>
      </c>
      <c r="P48" s="79">
        <f t="shared" si="8"/>
        <v>0</v>
      </c>
      <c r="Q48" s="79">
        <f t="shared" si="8"/>
        <v>0</v>
      </c>
      <c r="R48" s="79">
        <f t="shared" si="8"/>
        <v>0</v>
      </c>
      <c r="S48" s="79">
        <f t="shared" si="8"/>
        <v>0</v>
      </c>
      <c r="T48" s="79">
        <f t="shared" si="8"/>
        <v>0</v>
      </c>
      <c r="U48" s="79">
        <f t="shared" si="8"/>
        <v>0</v>
      </c>
      <c r="V48" s="79">
        <f t="shared" si="8"/>
        <v>0</v>
      </c>
      <c r="W48" s="79">
        <f t="shared" si="8"/>
        <v>0</v>
      </c>
    </row>
    <row r="49" spans="1:23" x14ac:dyDescent="0.3">
      <c r="A49" t="s">
        <v>180</v>
      </c>
      <c r="B49" s="37" t="s">
        <v>69</v>
      </c>
      <c r="C49" s="80">
        <f>IF(C47&lt;=0,0,C8/C47)</f>
        <v>0</v>
      </c>
      <c r="D49" s="80">
        <f t="shared" ref="D49:W49" si="9">IF(D47&lt;=0,0,D8/D47)</f>
        <v>1.1304347826086958</v>
      </c>
      <c r="E49" s="80">
        <f t="shared" si="9"/>
        <v>1.1304347826086956</v>
      </c>
      <c r="F49" s="80">
        <f t="shared" si="9"/>
        <v>1.1304347826086956</v>
      </c>
      <c r="G49" s="80">
        <f t="shared" si="9"/>
        <v>1.1304347826086956</v>
      </c>
      <c r="H49" s="80">
        <f t="shared" si="9"/>
        <v>1.1304347826086958</v>
      </c>
      <c r="I49" s="80">
        <f t="shared" si="9"/>
        <v>1.1304347826086956</v>
      </c>
      <c r="J49" s="80">
        <f t="shared" si="9"/>
        <v>1.1304347826086958</v>
      </c>
      <c r="K49" s="80">
        <f t="shared" si="9"/>
        <v>1.1304347826086956</v>
      </c>
      <c r="L49" s="80">
        <f t="shared" si="9"/>
        <v>1.1304347826086958</v>
      </c>
      <c r="M49" s="80">
        <f t="shared" si="9"/>
        <v>1.1304347826086956</v>
      </c>
      <c r="N49" s="80">
        <f t="shared" si="9"/>
        <v>1.1304347826086956</v>
      </c>
      <c r="O49" s="80">
        <f t="shared" si="9"/>
        <v>1.1897568734533095</v>
      </c>
      <c r="P49" s="80">
        <f t="shared" si="9"/>
        <v>0</v>
      </c>
      <c r="Q49" s="80">
        <f t="shared" si="9"/>
        <v>0</v>
      </c>
      <c r="R49" s="80">
        <f t="shared" si="9"/>
        <v>0</v>
      </c>
      <c r="S49" s="80">
        <f t="shared" si="9"/>
        <v>0</v>
      </c>
      <c r="T49" s="80">
        <f t="shared" si="9"/>
        <v>0</v>
      </c>
      <c r="U49" s="80">
        <f t="shared" si="9"/>
        <v>0</v>
      </c>
      <c r="V49" s="80">
        <f t="shared" si="9"/>
        <v>0</v>
      </c>
      <c r="W49" s="80">
        <f t="shared" si="9"/>
        <v>0</v>
      </c>
    </row>
    <row r="50" spans="1:23" x14ac:dyDescent="0.3">
      <c r="A50" t="s">
        <v>181</v>
      </c>
      <c r="B50" s="37" t="s">
        <v>78</v>
      </c>
      <c r="C50" s="43" t="str">
        <f>IF(C42&lt;=0,"n/a",IF(C48&gt;=Assumptions!$B$40-0.0001,"ok","BREACH"))</f>
        <v>n/a</v>
      </c>
      <c r="D50" s="43" t="str">
        <f>IF(D42&lt;=0,"n/a",IF(D48&gt;=Assumptions!$B$40-0.0001,"ok","BREACH"))</f>
        <v>ok</v>
      </c>
      <c r="E50" s="43" t="str">
        <f>IF(E42&lt;=0,"n/a",IF(E48&gt;=Assumptions!$B$40-0.0001,"ok","BREACH"))</f>
        <v>ok</v>
      </c>
      <c r="F50" s="43" t="str">
        <f>IF(F42&lt;=0,"n/a",IF(F48&gt;=Assumptions!$B$40-0.0001,"ok","BREACH"))</f>
        <v>ok</v>
      </c>
      <c r="G50" s="43" t="str">
        <f>IF(G42&lt;=0,"n/a",IF(G48&gt;=Assumptions!$B$40-0.0001,"ok","BREACH"))</f>
        <v>ok</v>
      </c>
      <c r="H50" s="43" t="str">
        <f>IF(H42&lt;=0,"n/a",IF(H48&gt;=Assumptions!$B$40-0.0001,"ok","BREACH"))</f>
        <v>ok</v>
      </c>
      <c r="I50" s="43" t="str">
        <f>IF(I42&lt;=0,"n/a",IF(I48&gt;=Assumptions!$B$40-0.0001,"ok","BREACH"))</f>
        <v>ok</v>
      </c>
      <c r="J50" s="43" t="str">
        <f>IF(J42&lt;=0,"n/a",IF(J48&gt;=Assumptions!$B$40-0.0001,"ok","BREACH"))</f>
        <v>ok</v>
      </c>
      <c r="K50" s="43" t="str">
        <f>IF(K42&lt;=0,"n/a",IF(K48&gt;=Assumptions!$B$40-0.0001,"ok","BREACH"))</f>
        <v>ok</v>
      </c>
      <c r="L50" s="43" t="str">
        <f>IF(L42&lt;=0,"n/a",IF(L48&gt;=Assumptions!$B$40-0.0001,"ok","BREACH"))</f>
        <v>ok</v>
      </c>
      <c r="M50" s="43" t="str">
        <f>IF(M42&lt;=0,"n/a",IF(M48&gt;=Assumptions!$B$40-0.0001,"ok","BREACH"))</f>
        <v>ok</v>
      </c>
      <c r="N50" s="43" t="str">
        <f>IF(N42&lt;=0,"n/a",IF(N48&gt;=Assumptions!$B$40-0.0001,"ok","BREACH"))</f>
        <v>ok</v>
      </c>
      <c r="O50" s="43" t="str">
        <f>IF(O42&lt;=0,"n/a",IF(O48&gt;=Assumptions!$B$40-0.0001,"ok","BREACH"))</f>
        <v>ok</v>
      </c>
      <c r="P50" s="43" t="str">
        <f>IF(P42&lt;=0,"n/a",IF(P48&gt;=Assumptions!$B$40-0.0001,"ok","BREACH"))</f>
        <v>n/a</v>
      </c>
      <c r="Q50" s="43" t="str">
        <f>IF(Q42&lt;=0,"n/a",IF(Q48&gt;=Assumptions!$B$40-0.0001,"ok","BREACH"))</f>
        <v>n/a</v>
      </c>
      <c r="R50" s="43" t="str">
        <f>IF(R42&lt;=0,"n/a",IF(R48&gt;=Assumptions!$B$40-0.0001,"ok","BREACH"))</f>
        <v>n/a</v>
      </c>
      <c r="S50" s="43" t="str">
        <f>IF(S42&lt;=0,"n/a",IF(S48&gt;=Assumptions!$B$40-0.0001,"ok","BREACH"))</f>
        <v>n/a</v>
      </c>
      <c r="T50" s="43" t="str">
        <f>IF(T42&lt;=0,"n/a",IF(T48&gt;=Assumptions!$B$40-0.0001,"ok","BREACH"))</f>
        <v>n/a</v>
      </c>
      <c r="U50" s="43" t="str">
        <f>IF(U42&lt;=0,"n/a",IF(U48&gt;=Assumptions!$B$40-0.0001,"ok","BREACH"))</f>
        <v>n/a</v>
      </c>
      <c r="V50" s="43" t="str">
        <f>IF(V42&lt;=0,"n/a",IF(V48&gt;=Assumptions!$B$40-0.0001,"ok","BREACH"))</f>
        <v>n/a</v>
      </c>
      <c r="W50" s="43" t="str">
        <f>IF(W42&lt;=0,"n/a",IF(W48&gt;=Assumptions!$B$40-0.0001,"ok","BREACH"))</f>
        <v>n/a</v>
      </c>
    </row>
    <row r="52" spans="1:23" x14ac:dyDescent="0.3">
      <c r="A52" s="21" t="s">
        <v>182</v>
      </c>
      <c r="B52" s="64"/>
    </row>
    <row r="53" spans="1:23" x14ac:dyDescent="0.3">
      <c r="A53" t="s">
        <v>183</v>
      </c>
      <c r="B53" s="37" t="s">
        <v>25</v>
      </c>
      <c r="C53" s="41">
        <f>Assumptions!$B$42/12*D42</f>
        <v>1.8803653846153843</v>
      </c>
      <c r="D53" s="41">
        <f>Assumptions!$B$42/12*E42</f>
        <v>1.8985324038461531</v>
      </c>
      <c r="E53" s="41">
        <f>Assumptions!$B$42/12*F42</f>
        <v>1.9168265437499992</v>
      </c>
      <c r="F53" s="41">
        <f>Assumptions!$B$42/12*G42</f>
        <v>1.9352453495985569</v>
      </c>
      <c r="G53" s="41">
        <f>Assumptions!$B$42/12*H42</f>
        <v>1.9537861989963807</v>
      </c>
      <c r="H53" s="41">
        <f>Assumptions!$B$42/12*I42</f>
        <v>1.9724462954405573</v>
      </c>
      <c r="I53" s="41">
        <f>Assumptions!$B$42/12*J42</f>
        <v>1.9912226616659421</v>
      </c>
      <c r="J53" s="41">
        <f>Assumptions!$B$42/12*K42</f>
        <v>2.0101121327692901</v>
      </c>
      <c r="K53" s="41">
        <f>Assumptions!$B$42/12*L42</f>
        <v>2.029111349105309</v>
      </c>
      <c r="L53" s="41">
        <f>Assumptions!$B$42/12*M42</f>
        <v>2.0482167489474712</v>
      </c>
      <c r="M53" s="41">
        <f>Assumptions!$B$42/12*N42</f>
        <v>2.0674245609062032</v>
      </c>
      <c r="N53" s="41">
        <f>Assumptions!$B$42/12*O42</f>
        <v>2.0867307960968202</v>
      </c>
      <c r="O53" s="41">
        <f>Assumptions!$B$42/12*P42</f>
        <v>0</v>
      </c>
      <c r="P53" s="41">
        <f>Assumptions!$B$42/12*Q42</f>
        <v>0</v>
      </c>
      <c r="Q53" s="41">
        <f>Assumptions!$B$42/12*R42</f>
        <v>0</v>
      </c>
      <c r="R53" s="41">
        <f>Assumptions!$B$42/12*S42</f>
        <v>0</v>
      </c>
      <c r="S53" s="41">
        <f>Assumptions!$B$42/12*T42</f>
        <v>0</v>
      </c>
      <c r="T53" s="41">
        <f>Assumptions!$B$42/12*U42</f>
        <v>0</v>
      </c>
      <c r="U53" s="41">
        <f>Assumptions!$B$42/12*V42</f>
        <v>0</v>
      </c>
      <c r="V53" s="41">
        <f>Assumptions!$B$42/12*W42</f>
        <v>0</v>
      </c>
      <c r="W53" s="41">
        <f>Assumptions!$B$42/12*X42</f>
        <v>0</v>
      </c>
    </row>
    <row r="54" spans="1:23" x14ac:dyDescent="0.3">
      <c r="A54" t="s">
        <v>184</v>
      </c>
      <c r="B54" s="37" t="s">
        <v>25</v>
      </c>
      <c r="C54" s="41">
        <f>-C53</f>
        <v>-1.8803653846153843</v>
      </c>
      <c r="D54" s="41">
        <f>C53-D53</f>
        <v>-1.8167019230768799E-2</v>
      </c>
      <c r="E54" s="41">
        <f t="shared" ref="E54:W54" si="10">D53-E53</f>
        <v>-1.8294139903846096E-2</v>
      </c>
      <c r="F54" s="41">
        <f t="shared" si="10"/>
        <v>-1.8418805848557707E-2</v>
      </c>
      <c r="G54" s="41">
        <f t="shared" si="10"/>
        <v>-1.8540849397823855E-2</v>
      </c>
      <c r="H54" s="41">
        <f t="shared" si="10"/>
        <v>-1.8660096444176544E-2</v>
      </c>
      <c r="I54" s="41">
        <f t="shared" si="10"/>
        <v>-1.8776366225384811E-2</v>
      </c>
      <c r="J54" s="41">
        <f t="shared" si="10"/>
        <v>-1.8889471103348043E-2</v>
      </c>
      <c r="K54" s="41">
        <f t="shared" si="10"/>
        <v>-1.8999216336018865E-2</v>
      </c>
      <c r="L54" s="41">
        <f t="shared" si="10"/>
        <v>-1.9105399842162196E-2</v>
      </c>
      <c r="M54" s="41">
        <f t="shared" si="10"/>
        <v>-1.9207811958732002E-2</v>
      </c>
      <c r="N54" s="41">
        <f t="shared" si="10"/>
        <v>-1.9306235190617027E-2</v>
      </c>
      <c r="O54" s="41">
        <f t="shared" si="10"/>
        <v>2.0867307960968202</v>
      </c>
      <c r="P54" s="41">
        <f t="shared" si="10"/>
        <v>0</v>
      </c>
      <c r="Q54" s="41">
        <f t="shared" si="10"/>
        <v>0</v>
      </c>
      <c r="R54" s="41">
        <f t="shared" si="10"/>
        <v>0</v>
      </c>
      <c r="S54" s="41">
        <f t="shared" si="10"/>
        <v>0</v>
      </c>
      <c r="T54" s="41">
        <f t="shared" si="10"/>
        <v>0</v>
      </c>
      <c r="U54" s="41">
        <f t="shared" si="10"/>
        <v>0</v>
      </c>
      <c r="V54" s="41">
        <f t="shared" si="10"/>
        <v>0</v>
      </c>
      <c r="W54" s="41">
        <f t="shared" si="10"/>
        <v>0</v>
      </c>
    </row>
    <row r="55" spans="1:23" x14ac:dyDescent="0.3">
      <c r="A55" s="12" t="s">
        <v>185</v>
      </c>
      <c r="B55" s="37" t="s">
        <v>25</v>
      </c>
      <c r="C55" s="40">
        <f>C53</f>
        <v>1.8803653846153843</v>
      </c>
      <c r="D55" s="40">
        <f t="shared" ref="D55:W55" si="11">D53</f>
        <v>1.8985324038461531</v>
      </c>
      <c r="E55" s="40">
        <f t="shared" si="11"/>
        <v>1.9168265437499992</v>
      </c>
      <c r="F55" s="40">
        <f t="shared" si="11"/>
        <v>1.9352453495985569</v>
      </c>
      <c r="G55" s="40">
        <f t="shared" si="11"/>
        <v>1.9537861989963807</v>
      </c>
      <c r="H55" s="40">
        <f t="shared" si="11"/>
        <v>1.9724462954405573</v>
      </c>
      <c r="I55" s="40">
        <f t="shared" si="11"/>
        <v>1.9912226616659421</v>
      </c>
      <c r="J55" s="40">
        <f t="shared" si="11"/>
        <v>2.0101121327692901</v>
      </c>
      <c r="K55" s="40">
        <f t="shared" si="11"/>
        <v>2.029111349105309</v>
      </c>
      <c r="L55" s="40">
        <f t="shared" si="11"/>
        <v>2.0482167489474712</v>
      </c>
      <c r="M55" s="40">
        <f t="shared" si="11"/>
        <v>2.0674245609062032</v>
      </c>
      <c r="N55" s="40">
        <f t="shared" si="11"/>
        <v>2.0867307960968202</v>
      </c>
      <c r="O55" s="40">
        <f t="shared" si="11"/>
        <v>0</v>
      </c>
      <c r="P55" s="40">
        <f t="shared" si="11"/>
        <v>0</v>
      </c>
      <c r="Q55" s="40">
        <f t="shared" si="11"/>
        <v>0</v>
      </c>
      <c r="R55" s="40">
        <f t="shared" si="11"/>
        <v>0</v>
      </c>
      <c r="S55" s="40">
        <f t="shared" si="11"/>
        <v>0</v>
      </c>
      <c r="T55" s="40">
        <f t="shared" si="11"/>
        <v>0</v>
      </c>
      <c r="U55" s="40">
        <f t="shared" si="11"/>
        <v>0</v>
      </c>
      <c r="V55" s="40">
        <f t="shared" si="11"/>
        <v>0</v>
      </c>
      <c r="W55" s="40">
        <f t="shared" si="11"/>
        <v>0</v>
      </c>
    </row>
    <row r="57" spans="1:23" x14ac:dyDescent="0.3">
      <c r="A57" s="27" t="s">
        <v>186</v>
      </c>
      <c r="B57" s="49"/>
    </row>
    <row r="58" spans="1:23" x14ac:dyDescent="0.3">
      <c r="A58" t="s">
        <v>187</v>
      </c>
      <c r="B58" s="37" t="s">
        <v>25</v>
      </c>
      <c r="C58" s="41">
        <f>C8</f>
        <v>0</v>
      </c>
      <c r="D58" s="41">
        <f t="shared" ref="D58:W58" si="12">D8</f>
        <v>4.8889499999999995</v>
      </c>
      <c r="E58" s="41">
        <f t="shared" si="12"/>
        <v>4.9361842499999984</v>
      </c>
      <c r="F58" s="41">
        <f t="shared" si="12"/>
        <v>4.983749013749998</v>
      </c>
      <c r="G58" s="41">
        <f t="shared" si="12"/>
        <v>5.031637908956248</v>
      </c>
      <c r="H58" s="41">
        <f t="shared" si="12"/>
        <v>5.0798441173905902</v>
      </c>
      <c r="I58" s="41">
        <f t="shared" si="12"/>
        <v>5.128360368145449</v>
      </c>
      <c r="J58" s="41">
        <f t="shared" si="12"/>
        <v>5.1771789203314498</v>
      </c>
      <c r="K58" s="41">
        <f t="shared" si="12"/>
        <v>5.2262915452001542</v>
      </c>
      <c r="L58" s="41">
        <f t="shared" si="12"/>
        <v>5.2756895076738033</v>
      </c>
      <c r="M58" s="41">
        <f t="shared" si="12"/>
        <v>5.3253635472634251</v>
      </c>
      <c r="N58" s="41">
        <f t="shared" si="12"/>
        <v>5.3753038583561281</v>
      </c>
      <c r="O58" s="41">
        <f t="shared" si="12"/>
        <v>5.4255000698517328</v>
      </c>
      <c r="P58" s="41">
        <f t="shared" si="12"/>
        <v>5.4759412241283805</v>
      </c>
      <c r="Q58" s="41">
        <f t="shared" si="12"/>
        <v>5.526615755316044</v>
      </c>
      <c r="R58" s="41">
        <f t="shared" si="12"/>
        <v>5.5775114668562926</v>
      </c>
      <c r="S58" s="41">
        <f t="shared" si="12"/>
        <v>5.6286155083259626</v>
      </c>
      <c r="T58" s="41">
        <f t="shared" si="12"/>
        <v>5.6799143515016812</v>
      </c>
      <c r="U58" s="41">
        <f t="shared" si="12"/>
        <v>5.7313937656415614</v>
      </c>
      <c r="V58" s="41">
        <f t="shared" si="12"/>
        <v>5.7830387919595605</v>
      </c>
      <c r="W58" s="41">
        <f t="shared" si="12"/>
        <v>5.8348337172673297</v>
      </c>
    </row>
    <row r="59" spans="1:23" x14ac:dyDescent="0.3">
      <c r="A59" t="s">
        <v>188</v>
      </c>
      <c r="B59" s="37" t="s">
        <v>25</v>
      </c>
      <c r="C59" s="41">
        <f>-C47</f>
        <v>0</v>
      </c>
      <c r="D59" s="41">
        <f t="shared" ref="D59:W59" si="13">-D47</f>
        <v>-4.324840384615384</v>
      </c>
      <c r="E59" s="41">
        <f t="shared" si="13"/>
        <v>-4.3666245288461525</v>
      </c>
      <c r="F59" s="41">
        <f t="shared" si="13"/>
        <v>-4.4087010506249982</v>
      </c>
      <c r="G59" s="41">
        <f t="shared" si="13"/>
        <v>-4.4510643040766809</v>
      </c>
      <c r="H59" s="41">
        <f t="shared" si="13"/>
        <v>-4.4937082576916758</v>
      </c>
      <c r="I59" s="41">
        <f t="shared" si="13"/>
        <v>-4.5366264795132825</v>
      </c>
      <c r="J59" s="41">
        <f t="shared" si="13"/>
        <v>-4.579812121831667</v>
      </c>
      <c r="K59" s="41">
        <f t="shared" si="13"/>
        <v>-4.6232579053693676</v>
      </c>
      <c r="L59" s="41">
        <f t="shared" si="13"/>
        <v>-4.6669561029422102</v>
      </c>
      <c r="M59" s="41">
        <f t="shared" si="13"/>
        <v>-4.7108985225791837</v>
      </c>
      <c r="N59" s="41">
        <f t="shared" si="13"/>
        <v>-4.7550764900842672</v>
      </c>
      <c r="O59" s="41">
        <f t="shared" si="13"/>
        <v>-4.5601754366033083</v>
      </c>
      <c r="P59" s="41">
        <f t="shared" si="13"/>
        <v>0</v>
      </c>
      <c r="Q59" s="41">
        <f t="shared" si="13"/>
        <v>0</v>
      </c>
      <c r="R59" s="41">
        <f t="shared" si="13"/>
        <v>0</v>
      </c>
      <c r="S59" s="41">
        <f t="shared" si="13"/>
        <v>0</v>
      </c>
      <c r="T59" s="41">
        <f t="shared" si="13"/>
        <v>0</v>
      </c>
      <c r="U59" s="41">
        <f t="shared" si="13"/>
        <v>0</v>
      </c>
      <c r="V59" s="41">
        <f t="shared" si="13"/>
        <v>0</v>
      </c>
      <c r="W59" s="41">
        <f t="shared" si="13"/>
        <v>0</v>
      </c>
    </row>
    <row r="60" spans="1:23" x14ac:dyDescent="0.3">
      <c r="A60" t="s">
        <v>189</v>
      </c>
      <c r="B60" s="37" t="s">
        <v>25</v>
      </c>
      <c r="C60" s="41">
        <f>MAX(0,MIN(C41,Model!C26))*Assumptions!$B$33</f>
        <v>0</v>
      </c>
      <c r="D60" s="41">
        <f>MAX(0,MIN(D41,Model!D26))*Assumptions!$B$33</f>
        <v>0.80954999999999977</v>
      </c>
      <c r="E60" s="41">
        <f>MAX(0,MIN(E41,Model!E26))*Assumptions!$B$33</f>
        <v>0.77680562769716499</v>
      </c>
      <c r="F60" s="41">
        <f>MAX(0,MIN(F41,Model!F26))*Assumptions!$B$33</f>
        <v>0.73415108922063055</v>
      </c>
      <c r="G60" s="41">
        <f>MAX(0,MIN(G41,Model!G26))*Assumptions!$B$33</f>
        <v>0.68707435114328108</v>
      </c>
      <c r="H60" s="41">
        <f>MAX(0,MIN(H41,Model!H26))*Assumptions!$B$33</f>
        <v>0.63521475593690324</v>
      </c>
      <c r="I60" s="41">
        <f>MAX(0,MIN(I41,Model!I26))*Assumptions!$B$33</f>
        <v>0.57818293822725531</v>
      </c>
      <c r="J60" s="41">
        <f>MAX(0,MIN(J41,Model!J26))*Assumptions!$B$33</f>
        <v>0.51555853777711691</v>
      </c>
      <c r="K60" s="41">
        <f>MAX(0,MIN(K41,Model!K26))*Assumptions!$B$33</f>
        <v>0.44688772987532627</v>
      </c>
      <c r="L60" s="41">
        <f>MAX(0,MIN(L41,Model!L26))*Assumptions!$B$33</f>
        <v>0.37168055853648757</v>
      </c>
      <c r="M60" s="41">
        <f>MAX(0,MIN(M41,Model!M26))*Assumptions!$B$33</f>
        <v>0.28940805674879355</v>
      </c>
      <c r="N60" s="41">
        <f>MAX(0,MIN(N41,Model!N26))*Assumptions!$B$33</f>
        <v>0.19949913674679665</v>
      </c>
      <c r="O60" s="41">
        <f>MAX(0,MIN(O41,Model!O26))*Assumptions!$B$33</f>
        <v>0.10133723192451796</v>
      </c>
      <c r="P60" s="41">
        <f>MAX(0,MIN(P41,Model!P26))*Assumptions!$B$33</f>
        <v>0</v>
      </c>
      <c r="Q60" s="41">
        <f>MAX(0,MIN(Q41,Model!Q26))*Assumptions!$B$33</f>
        <v>0</v>
      </c>
      <c r="R60" s="41">
        <f>MAX(0,MIN(R41,Model!R26))*Assumptions!$B$33</f>
        <v>0</v>
      </c>
      <c r="S60" s="41">
        <f>MAX(0,MIN(S41,Model!S26))*Assumptions!$B$33</f>
        <v>0</v>
      </c>
      <c r="T60" s="41">
        <f>MAX(0,MIN(T41,Model!T26))*Assumptions!$B$33</f>
        <v>0</v>
      </c>
      <c r="U60" s="41">
        <f>MAX(0,MIN(U41,Model!U26))*Assumptions!$B$33</f>
        <v>0</v>
      </c>
      <c r="V60" s="41">
        <f>MAX(0,MIN(V41,Model!V26))*Assumptions!$B$33</f>
        <v>0</v>
      </c>
      <c r="W60" s="41">
        <f>MAX(0,MIN(W41,Model!W26))*Assumptions!$B$33</f>
        <v>0</v>
      </c>
    </row>
    <row r="61" spans="1:23" x14ac:dyDescent="0.3">
      <c r="A61" t="s">
        <v>190</v>
      </c>
      <c r="B61" s="37" t="s">
        <v>25</v>
      </c>
      <c r="C61" s="41">
        <f>C54</f>
        <v>-1.8803653846153843</v>
      </c>
      <c r="D61" s="41">
        <f t="shared" ref="D61:W61" si="14">D54</f>
        <v>-1.8167019230768799E-2</v>
      </c>
      <c r="E61" s="41">
        <f t="shared" si="14"/>
        <v>-1.8294139903846096E-2</v>
      </c>
      <c r="F61" s="41">
        <f t="shared" si="14"/>
        <v>-1.8418805848557707E-2</v>
      </c>
      <c r="G61" s="41">
        <f t="shared" si="14"/>
        <v>-1.8540849397823855E-2</v>
      </c>
      <c r="H61" s="41">
        <f t="shared" si="14"/>
        <v>-1.8660096444176544E-2</v>
      </c>
      <c r="I61" s="41">
        <f t="shared" si="14"/>
        <v>-1.8776366225384811E-2</v>
      </c>
      <c r="J61" s="41">
        <f t="shared" si="14"/>
        <v>-1.8889471103348043E-2</v>
      </c>
      <c r="K61" s="41">
        <f t="shared" si="14"/>
        <v>-1.8999216336018865E-2</v>
      </c>
      <c r="L61" s="41">
        <f t="shared" si="14"/>
        <v>-1.9105399842162196E-2</v>
      </c>
      <c r="M61" s="41">
        <f t="shared" si="14"/>
        <v>-1.9207811958732002E-2</v>
      </c>
      <c r="N61" s="41">
        <f t="shared" si="14"/>
        <v>-1.9306235190617027E-2</v>
      </c>
      <c r="O61" s="41">
        <f t="shared" si="14"/>
        <v>2.0867307960968202</v>
      </c>
      <c r="P61" s="41">
        <f t="shared" si="14"/>
        <v>0</v>
      </c>
      <c r="Q61" s="41">
        <f t="shared" si="14"/>
        <v>0</v>
      </c>
      <c r="R61" s="41">
        <f t="shared" si="14"/>
        <v>0</v>
      </c>
      <c r="S61" s="41">
        <f t="shared" si="14"/>
        <v>0</v>
      </c>
      <c r="T61" s="41">
        <f t="shared" si="14"/>
        <v>0</v>
      </c>
      <c r="U61" s="41">
        <f t="shared" si="14"/>
        <v>0</v>
      </c>
      <c r="V61" s="41">
        <f t="shared" si="14"/>
        <v>0</v>
      </c>
      <c r="W61" s="41">
        <f t="shared" si="14"/>
        <v>0</v>
      </c>
    </row>
    <row r="62" spans="1:23" x14ac:dyDescent="0.3">
      <c r="A62" t="s">
        <v>191</v>
      </c>
      <c r="B62" s="37" t="s">
        <v>25</v>
      </c>
      <c r="C62" s="41">
        <f>-IF(C4=0,Assumptions!$B$15-$C$17,0)</f>
        <v>-26.02616524197785</v>
      </c>
      <c r="D62" s="41">
        <f>-IF(D4=0,Assumptions!$B$15-$C$17,0)</f>
        <v>0</v>
      </c>
      <c r="E62" s="41">
        <f>-IF(E4=0,Assumptions!$B$15-$C$17,0)</f>
        <v>0</v>
      </c>
      <c r="F62" s="41">
        <f>-IF(F4=0,Assumptions!$B$15-$C$17,0)</f>
        <v>0</v>
      </c>
      <c r="G62" s="41">
        <f>-IF(G4=0,Assumptions!$B$15-$C$17,0)</f>
        <v>0</v>
      </c>
      <c r="H62" s="41">
        <f>-IF(H4=0,Assumptions!$B$15-$C$17,0)</f>
        <v>0</v>
      </c>
      <c r="I62" s="41">
        <f>-IF(I4=0,Assumptions!$B$15-$C$17,0)</f>
        <v>0</v>
      </c>
      <c r="J62" s="41">
        <f>-IF(J4=0,Assumptions!$B$15-$C$17,0)</f>
        <v>0</v>
      </c>
      <c r="K62" s="41">
        <f>-IF(K4=0,Assumptions!$B$15-$C$17,0)</f>
        <v>0</v>
      </c>
      <c r="L62" s="41">
        <f>-IF(L4=0,Assumptions!$B$15-$C$17,0)</f>
        <v>0</v>
      </c>
      <c r="M62" s="41">
        <f>-IF(M4=0,Assumptions!$B$15-$C$17,0)</f>
        <v>0</v>
      </c>
      <c r="N62" s="41">
        <f>-IF(N4=0,Assumptions!$B$15-$C$17,0)</f>
        <v>0</v>
      </c>
      <c r="O62" s="41">
        <f>-IF(O4=0,Assumptions!$B$15-$C$17,0)</f>
        <v>0</v>
      </c>
      <c r="P62" s="41">
        <f>-IF(P4=0,Assumptions!$B$15-$C$17,0)</f>
        <v>0</v>
      </c>
      <c r="Q62" s="41">
        <f>-IF(Q4=0,Assumptions!$B$15-$C$17,0)</f>
        <v>0</v>
      </c>
      <c r="R62" s="41">
        <f>-IF(R4=0,Assumptions!$B$15-$C$17,0)</f>
        <v>0</v>
      </c>
      <c r="S62" s="41">
        <f>-IF(S4=0,Assumptions!$B$15-$C$17,0)</f>
        <v>0</v>
      </c>
      <c r="T62" s="41">
        <f>-IF(T4=0,Assumptions!$B$15-$C$17,0)</f>
        <v>0</v>
      </c>
      <c r="U62" s="41">
        <f>-IF(U4=0,Assumptions!$B$15-$C$17,0)</f>
        <v>0</v>
      </c>
      <c r="V62" s="41">
        <f>-IF(V4=0,Assumptions!$B$15-$C$17,0)</f>
        <v>0</v>
      </c>
      <c r="W62" s="41">
        <f>-IF(W4=0,Assumptions!$B$15-$C$17,0)</f>
        <v>0</v>
      </c>
    </row>
    <row r="63" spans="1:23" x14ac:dyDescent="0.3">
      <c r="A63" s="81" t="s">
        <v>192</v>
      </c>
      <c r="B63" s="82" t="s">
        <v>25</v>
      </c>
      <c r="C63" s="83">
        <f>SUM(C58:C62)</f>
        <v>-27.906530626593234</v>
      </c>
      <c r="D63" s="83">
        <f t="shared" ref="D63:W63" si="15">SUM(D58:D62)</f>
        <v>1.3554925961538464</v>
      </c>
      <c r="E63" s="83">
        <f t="shared" si="15"/>
        <v>1.3280712089471647</v>
      </c>
      <c r="F63" s="83">
        <f t="shared" si="15"/>
        <v>1.2907802464970728</v>
      </c>
      <c r="G63" s="83">
        <f t="shared" si="15"/>
        <v>1.2491071066250243</v>
      </c>
      <c r="H63" s="83">
        <f t="shared" si="15"/>
        <v>1.202690519191641</v>
      </c>
      <c r="I63" s="83">
        <f t="shared" si="15"/>
        <v>1.1511404606340372</v>
      </c>
      <c r="J63" s="83">
        <f t="shared" si="15"/>
        <v>1.0940358651735518</v>
      </c>
      <c r="K63" s="83">
        <f t="shared" si="15"/>
        <v>1.0309221533700939</v>
      </c>
      <c r="L63" s="83">
        <f t="shared" si="15"/>
        <v>0.96130856342591842</v>
      </c>
      <c r="M63" s="83">
        <f t="shared" si="15"/>
        <v>0.88466526947430291</v>
      </c>
      <c r="N63" s="83">
        <f t="shared" si="15"/>
        <v>0.80042026982804049</v>
      </c>
      <c r="O63" s="83">
        <f t="shared" si="15"/>
        <v>3.0533926612697626</v>
      </c>
      <c r="P63" s="83">
        <f t="shared" si="15"/>
        <v>5.4759412241283805</v>
      </c>
      <c r="Q63" s="83">
        <f t="shared" si="15"/>
        <v>5.526615755316044</v>
      </c>
      <c r="R63" s="83">
        <f t="shared" si="15"/>
        <v>5.5775114668562926</v>
      </c>
      <c r="S63" s="83">
        <f t="shared" si="15"/>
        <v>5.6286155083259626</v>
      </c>
      <c r="T63" s="83">
        <f t="shared" si="15"/>
        <v>5.6799143515016812</v>
      </c>
      <c r="U63" s="83">
        <f t="shared" si="15"/>
        <v>5.7313937656415614</v>
      </c>
      <c r="V63" s="83">
        <f t="shared" si="15"/>
        <v>5.7830387919595605</v>
      </c>
      <c r="W63" s="83">
        <f t="shared" si="15"/>
        <v>5.8348337172673297</v>
      </c>
    </row>
    <row r="64" spans="1:23" x14ac:dyDescent="0.3">
      <c r="A64" t="s">
        <v>193</v>
      </c>
      <c r="B64" s="37" t="s">
        <v>25</v>
      </c>
      <c r="C64" s="41">
        <f>C63</f>
        <v>-27.906530626593234</v>
      </c>
      <c r="D64" s="41">
        <f>C64+D63</f>
        <v>-26.551038030439386</v>
      </c>
      <c r="E64" s="41">
        <f t="shared" ref="E64:W64" si="16">D64+E63</f>
        <v>-25.222966821492221</v>
      </c>
      <c r="F64" s="41">
        <f t="shared" si="16"/>
        <v>-23.93218657499515</v>
      </c>
      <c r="G64" s="41">
        <f t="shared" si="16"/>
        <v>-22.683079468370124</v>
      </c>
      <c r="H64" s="41">
        <f t="shared" si="16"/>
        <v>-21.480388949178483</v>
      </c>
      <c r="I64" s="41">
        <f t="shared" si="16"/>
        <v>-20.329248488544447</v>
      </c>
      <c r="J64" s="41">
        <f t="shared" si="16"/>
        <v>-19.235212623370895</v>
      </c>
      <c r="K64" s="41">
        <f t="shared" si="16"/>
        <v>-18.204290470000799</v>
      </c>
      <c r="L64" s="41">
        <f t="shared" si="16"/>
        <v>-17.24298190657488</v>
      </c>
      <c r="M64" s="41">
        <f t="shared" si="16"/>
        <v>-16.358316637100575</v>
      </c>
      <c r="N64" s="41">
        <f t="shared" si="16"/>
        <v>-15.557896367272535</v>
      </c>
      <c r="O64" s="41">
        <f t="shared" si="16"/>
        <v>-12.504503706002772</v>
      </c>
      <c r="P64" s="41">
        <f t="shared" si="16"/>
        <v>-7.0285624818743919</v>
      </c>
      <c r="Q64" s="41">
        <f t="shared" si="16"/>
        <v>-1.5019467265583479</v>
      </c>
      <c r="R64" s="41">
        <f t="shared" si="16"/>
        <v>4.0755647402979447</v>
      </c>
      <c r="S64" s="41">
        <f t="shared" si="16"/>
        <v>9.7041802486239064</v>
      </c>
      <c r="T64" s="41">
        <f t="shared" si="16"/>
        <v>15.384094600125588</v>
      </c>
      <c r="U64" s="41">
        <f t="shared" si="16"/>
        <v>21.115488365767149</v>
      </c>
      <c r="V64" s="41">
        <f t="shared" si="16"/>
        <v>26.898527157726711</v>
      </c>
      <c r="W64" s="41">
        <f t="shared" si="16"/>
        <v>32.733360874994041</v>
      </c>
    </row>
    <row r="66" spans="1:3" x14ac:dyDescent="0.3">
      <c r="A66" s="84" t="s">
        <v>194</v>
      </c>
      <c r="B66" s="85"/>
      <c r="C66" s="86" t="s">
        <v>4</v>
      </c>
    </row>
    <row r="67" spans="1:3" x14ac:dyDescent="0.3">
      <c r="A67" s="12" t="s">
        <v>195</v>
      </c>
      <c r="B67" s="37" t="s">
        <v>14</v>
      </c>
      <c r="C67" s="51">
        <f>IRR(C63:W63)</f>
        <v>6.0358842520979783E-2</v>
      </c>
    </row>
    <row r="68" spans="1:3" x14ac:dyDescent="0.3">
      <c r="A68" t="s">
        <v>196</v>
      </c>
      <c r="B68" s="37" t="s">
        <v>14</v>
      </c>
      <c r="C68" s="87">
        <f>Model!$C$43</f>
        <v>6.0665744754367479E-2</v>
      </c>
    </row>
    <row r="69" spans="1:3" x14ac:dyDescent="0.3">
      <c r="A69" s="12" t="s">
        <v>197</v>
      </c>
      <c r="B69" s="37" t="s">
        <v>69</v>
      </c>
      <c r="C69" s="88" t="e" cm="1">
        <f t="array" aca="1" ref="C69" ca="1">MIDIFS(C48:W48,C48:W48,"&gt;0")</f>
        <v>#NAME?</v>
      </c>
    </row>
    <row r="70" spans="1:3" x14ac:dyDescent="0.3">
      <c r="A70" s="12" t="s">
        <v>198</v>
      </c>
      <c r="B70" s="37" t="s">
        <v>69</v>
      </c>
      <c r="C70" s="88">
        <f>AVERAGEIF(C48:W48,"&gt;0")</f>
        <v>1.3000000000000003</v>
      </c>
    </row>
    <row r="71" spans="1:3" x14ac:dyDescent="0.3">
      <c r="A71" t="s">
        <v>199</v>
      </c>
      <c r="B71" s="37" t="s">
        <v>69</v>
      </c>
      <c r="C71" s="54" t="e" cm="1">
        <f t="array" aca="1" ref="C71" ca="1">MIDIFS(C49:W49,C49:W49,"&gt;0")</f>
        <v>#NAME?</v>
      </c>
    </row>
    <row r="72" spans="1:3" x14ac:dyDescent="0.3">
      <c r="A72" t="s">
        <v>200</v>
      </c>
      <c r="B72" s="37" t="s">
        <v>201</v>
      </c>
      <c r="C72" s="34">
        <f>IF(W46&gt;0.001,"Not repaid",COUNTIF(C46:W46,"&gt;0.001"))</f>
        <v>12</v>
      </c>
    </row>
    <row r="73" spans="1:3" x14ac:dyDescent="0.3">
      <c r="A73" t="s">
        <v>202</v>
      </c>
      <c r="B73" s="37" t="s">
        <v>39</v>
      </c>
      <c r="C73" s="34">
        <f>Assumptions!$B$38-C72</f>
        <v>3</v>
      </c>
    </row>
    <row r="74" spans="1:3" x14ac:dyDescent="0.3">
      <c r="A74" t="s">
        <v>203</v>
      </c>
      <c r="B74" s="37" t="s">
        <v>69</v>
      </c>
      <c r="C74" s="54">
        <f>SUM(D63:W63)/-C63</f>
        <v>2.1729641822190939</v>
      </c>
    </row>
    <row r="75" spans="1:3" x14ac:dyDescent="0.3">
      <c r="A75" t="s">
        <v>204</v>
      </c>
      <c r="B75" s="37" t="s">
        <v>39</v>
      </c>
      <c r="C75" s="34">
        <f>IF(W64&lt;0,"Not repaid",COUNTIF(D64:W64,"&lt;0")+1)</f>
        <v>15</v>
      </c>
    </row>
    <row r="76" spans="1:3" x14ac:dyDescent="0.3">
      <c r="A76" t="s">
        <v>205</v>
      </c>
      <c r="B76" s="37" t="s">
        <v>78</v>
      </c>
      <c r="C76" s="43" t="str">
        <f>IF(COUNTIF(C50:W50,"BREACH")=0,"ok","BREACH")</f>
        <v>ok</v>
      </c>
    </row>
    <row r="77" spans="1:3" x14ac:dyDescent="0.3">
      <c r="A77" t="s">
        <v>206</v>
      </c>
      <c r="B77" s="37" t="s">
        <v>78</v>
      </c>
      <c r="C77" s="43" t="str">
        <f>IF(ABS(W46)&lt;0.001,"ok","CHECK")</f>
        <v>ok</v>
      </c>
    </row>
    <row r="78" spans="1:3" x14ac:dyDescent="0.3">
      <c r="A78" s="3" t="s">
        <v>207</v>
      </c>
    </row>
    <row r="80" spans="1:3" x14ac:dyDescent="0.3">
      <c r="A80" s="21" t="s">
        <v>208</v>
      </c>
    </row>
    <row r="81" spans="1:3" x14ac:dyDescent="0.3">
      <c r="A81" s="131" t="s">
        <v>315</v>
      </c>
    </row>
    <row r="82" spans="1:3" x14ac:dyDescent="0.3">
      <c r="A82" s="28" t="s">
        <v>209</v>
      </c>
    </row>
    <row r="83" spans="1:3" x14ac:dyDescent="0.3">
      <c r="A83" s="28" t="s">
        <v>210</v>
      </c>
    </row>
    <row r="84" spans="1:3" x14ac:dyDescent="0.3">
      <c r="A84" s="28" t="s">
        <v>211</v>
      </c>
    </row>
    <row r="85" spans="1:3" x14ac:dyDescent="0.3">
      <c r="A85" s="131" t="s">
        <v>212</v>
      </c>
    </row>
    <row r="86" spans="1:3" x14ac:dyDescent="0.3">
      <c r="A86" s="3" t="s">
        <v>213</v>
      </c>
    </row>
    <row r="88" spans="1:3" x14ac:dyDescent="0.3">
      <c r="A88" s="123" t="s">
        <v>214</v>
      </c>
      <c r="B88" s="124"/>
      <c r="C88" s="125" t="s">
        <v>4</v>
      </c>
    </row>
    <row r="89" spans="1:3" x14ac:dyDescent="0.3">
      <c r="A89" t="s">
        <v>215</v>
      </c>
      <c r="B89" s="37" t="s">
        <v>25</v>
      </c>
      <c r="C89" s="15">
        <f>SUM(C41:W41)</f>
        <v>20.503906826756015</v>
      </c>
    </row>
    <row r="90" spans="1:3" x14ac:dyDescent="0.3">
      <c r="A90" t="s">
        <v>216</v>
      </c>
      <c r="B90" s="37" t="s">
        <v>25</v>
      </c>
      <c r="C90" s="15">
        <f>SUM(C60:W60)</f>
        <v>6.1453500138342729</v>
      </c>
    </row>
    <row r="91" spans="1:3" x14ac:dyDescent="0.3">
      <c r="A91" t="s">
        <v>217</v>
      </c>
      <c r="B91" s="37" t="s">
        <v>14</v>
      </c>
      <c r="C91" s="20">
        <f>C90/C89</f>
        <v>0.29971605244592048</v>
      </c>
    </row>
    <row r="92" spans="1:3" x14ac:dyDescent="0.3">
      <c r="A92" s="133" t="s">
        <v>316</v>
      </c>
      <c r="B92" s="136" t="s">
        <v>14</v>
      </c>
      <c r="C92" s="137">
        <f>Assumptions!$B$39*(1-C91)</f>
        <v>5.6022715804326363E-2</v>
      </c>
    </row>
    <row r="93" spans="1:3" x14ac:dyDescent="0.3">
      <c r="A93" t="s">
        <v>218</v>
      </c>
      <c r="B93" s="37" t="s">
        <v>14</v>
      </c>
      <c r="C93" s="87">
        <f>Model!$C$43</f>
        <v>6.0665744754367479E-2</v>
      </c>
    </row>
    <row r="94" spans="1:3" x14ac:dyDescent="0.3">
      <c r="A94" s="133" t="s">
        <v>219</v>
      </c>
      <c r="B94" s="136" t="s">
        <v>220</v>
      </c>
      <c r="C94" s="138">
        <f>(C93-C92)*100</f>
        <v>0.46430289500411159</v>
      </c>
    </row>
    <row r="95" spans="1:3" x14ac:dyDescent="0.3">
      <c r="A95" t="s">
        <v>221</v>
      </c>
      <c r="B95" s="37" t="s">
        <v>14</v>
      </c>
      <c r="C95" s="134">
        <f>C67</f>
        <v>6.0358842520979783E-2</v>
      </c>
    </row>
    <row r="96" spans="1:3" x14ac:dyDescent="0.3">
      <c r="A96" t="s">
        <v>222</v>
      </c>
      <c r="B96" s="37" t="s">
        <v>220</v>
      </c>
      <c r="C96" s="139">
        <f>(C95-C93)*100</f>
        <v>-3.0690223338769584E-2</v>
      </c>
    </row>
    <row r="97" spans="1:3" x14ac:dyDescent="0.3">
      <c r="A97" t="s">
        <v>223</v>
      </c>
      <c r="B97" s="37" t="s">
        <v>25</v>
      </c>
      <c r="C97" s="15">
        <f>C53</f>
        <v>1.8803653846153843</v>
      </c>
    </row>
    <row r="98" spans="1:3" x14ac:dyDescent="0.3">
      <c r="A98" t="s">
        <v>224</v>
      </c>
      <c r="B98" s="37" t="s">
        <v>39</v>
      </c>
      <c r="C98" s="34">
        <f>C72</f>
        <v>12</v>
      </c>
    </row>
    <row r="99" spans="1:3" x14ac:dyDescent="0.3">
      <c r="A99" s="28" t="s">
        <v>225</v>
      </c>
    </row>
    <row r="100" spans="1:3" x14ac:dyDescent="0.3">
      <c r="A100" s="131" t="s">
        <v>226</v>
      </c>
    </row>
    <row r="101" spans="1:3" x14ac:dyDescent="0.3">
      <c r="A101" s="140" t="s">
        <v>227</v>
      </c>
    </row>
  </sheetData>
  <conditionalFormatting sqref="C50:W50">
    <cfRule type="containsText" dxfId="0" priority="1" operator="containsText" text="BREACH">
      <formula>NOT(ISERROR(SEARCH("BREACH",C50)))</formula>
    </cfRule>
  </conditionalFormatting>
  <pageMargins left="0.7" right="0.7" top="0.75" bottom="0.75" header="0.3" footer="0.3"/>
  <pageSetup paperSize="0" firstPageNumber="0" fitToHeight="0" orientation="landscape"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40CB-A210-4554-8054-859F559F0225}">
  <sheetPr>
    <tabColor rgb="FF7F3F9F"/>
    <pageSetUpPr fitToPage="1"/>
  </sheetPr>
  <dimension ref="A1:AB141"/>
  <sheetViews>
    <sheetView workbookViewId="0"/>
  </sheetViews>
  <sheetFormatPr defaultRowHeight="14.4" outlineLevelRow="1" x14ac:dyDescent="0.3"/>
  <cols>
    <col min="1" max="1" width="28.5546875" customWidth="1"/>
    <col min="2" max="9" width="13.6640625" customWidth="1"/>
    <col min="11" max="19" width="13.6640625" customWidth="1"/>
  </cols>
  <sheetData>
    <row r="1" spans="1:19" ht="18" x14ac:dyDescent="0.35">
      <c r="A1" s="29" t="s">
        <v>228</v>
      </c>
    </row>
    <row r="2" spans="1:19" x14ac:dyDescent="0.3">
      <c r="A2" s="30" t="s">
        <v>229</v>
      </c>
    </row>
    <row r="4" spans="1:19" x14ac:dyDescent="0.3">
      <c r="A4" s="28" t="s">
        <v>230</v>
      </c>
      <c r="B4" s="89">
        <v>5.0000000000000001E-3</v>
      </c>
      <c r="C4" s="32" t="s">
        <v>43</v>
      </c>
    </row>
    <row r="5" spans="1:19" x14ac:dyDescent="0.3">
      <c r="A5" s="28" t="s">
        <v>231</v>
      </c>
      <c r="B5" s="18">
        <v>1.4999999999999999E-2</v>
      </c>
      <c r="C5" s="32" t="s">
        <v>232</v>
      </c>
    </row>
    <row r="6" spans="1:19" x14ac:dyDescent="0.3">
      <c r="A6" s="28" t="s">
        <v>233</v>
      </c>
      <c r="B6" s="6">
        <v>5</v>
      </c>
      <c r="C6" s="32" t="s">
        <v>25</v>
      </c>
    </row>
    <row r="9" spans="1:19" x14ac:dyDescent="0.3">
      <c r="A9" s="4" t="s">
        <v>234</v>
      </c>
      <c r="K9" s="4" t="s">
        <v>235</v>
      </c>
    </row>
    <row r="10" spans="1:19" x14ac:dyDescent="0.3">
      <c r="C10" s="33" t="s">
        <v>236</v>
      </c>
      <c r="M10" s="33" t="s">
        <v>237</v>
      </c>
    </row>
    <row r="11" spans="1:19" x14ac:dyDescent="0.3">
      <c r="B11" s="90" t="s">
        <v>238</v>
      </c>
      <c r="C11" s="91">
        <f>Assumptions!$B$23-3*$B$4</f>
        <v>0.06</v>
      </c>
      <c r="D11" s="91">
        <f>C11+$B$4</f>
        <v>6.5000000000000002E-2</v>
      </c>
      <c r="E11" s="91">
        <f t="shared" ref="E11:I11" si="0">D11+$B$4</f>
        <v>7.0000000000000007E-2</v>
      </c>
      <c r="F11" s="91">
        <f t="shared" si="0"/>
        <v>7.5000000000000011E-2</v>
      </c>
      <c r="G11" s="91">
        <f t="shared" si="0"/>
        <v>8.0000000000000016E-2</v>
      </c>
      <c r="H11" s="91">
        <f t="shared" si="0"/>
        <v>8.500000000000002E-2</v>
      </c>
      <c r="I11" s="91">
        <f t="shared" si="0"/>
        <v>9.0000000000000024E-2</v>
      </c>
      <c r="L11" s="90" t="s">
        <v>238</v>
      </c>
      <c r="M11" s="106">
        <f>Assumptions!$B$15-3*$B$6</f>
        <v>45</v>
      </c>
      <c r="N11" s="106">
        <f>M11+$B$6</f>
        <v>50</v>
      </c>
      <c r="O11" s="106">
        <f t="shared" ref="O11:S11" si="1">N11+$B$6</f>
        <v>55</v>
      </c>
      <c r="P11" s="106">
        <f t="shared" si="1"/>
        <v>60</v>
      </c>
      <c r="Q11" s="106">
        <f t="shared" si="1"/>
        <v>65</v>
      </c>
      <c r="R11" s="106">
        <f t="shared" si="1"/>
        <v>70</v>
      </c>
      <c r="S11" s="106">
        <f t="shared" si="1"/>
        <v>75</v>
      </c>
    </row>
    <row r="12" spans="1:19" x14ac:dyDescent="0.3">
      <c r="A12" s="32" t="s">
        <v>239</v>
      </c>
      <c r="B12" s="92">
        <f>Assumptions!$B$9-3*$B$5</f>
        <v>0.16499999999999998</v>
      </c>
      <c r="C12" s="20" cm="1">
        <f t="array" ref="C12">INDEX($E$41:$E$89,(ROW()-ROW($B$12))*7+(COLUMN()-COLUMN($B$12)))</f>
        <v>8.5171815986033739E-3</v>
      </c>
      <c r="D12" s="20" cm="1">
        <f t="array" ref="D12">INDEX($E$41:$E$89,(ROW()-ROW($B$12))*7+(COLUMN()-COLUMN($B$12)))</f>
        <v>1.6893192349767716E-2</v>
      </c>
      <c r="E12" s="20" cm="1">
        <f t="array" ref="E12">INDEX($E$41:$E$89,(ROW()-ROW($B$12))*7+(COLUMN()-COLUMN($B$12)))</f>
        <v>2.4845974193148379E-2</v>
      </c>
      <c r="F12" s="20" cm="1">
        <f t="array" ref="F12">INDEX($E$41:$E$89,(ROW()-ROW($B$12))*7+(COLUMN()-COLUMN($B$12)))</f>
        <v>3.2438550061617111E-2</v>
      </c>
      <c r="G12" s="20" cm="1">
        <f t="array" ref="G12">INDEX($E$41:$E$89,(ROW()-ROW($B$12))*7+(COLUMN()-COLUMN($B$12)))</f>
        <v>3.9721017462377661E-2</v>
      </c>
      <c r="H12" s="20" cm="1">
        <f t="array" ref="H12">INDEX($E$41:$E$89,(ROW()-ROW($B$12))*7+(COLUMN()-COLUMN($B$12)))</f>
        <v>4.6733886817620585E-2</v>
      </c>
      <c r="I12" s="20" cm="1">
        <f t="array" ref="I12">INDEX($E$41:$E$89,(ROW()-ROW($B$12))*7+(COLUMN()-COLUMN($B$12)))</f>
        <v>5.3510401233173299E-2</v>
      </c>
      <c r="K12" s="32" t="s">
        <v>240</v>
      </c>
      <c r="L12" s="92">
        <f>$B12</f>
        <v>0.16499999999999998</v>
      </c>
      <c r="M12" s="20" cm="1">
        <f t="array" ref="M12">INDEX($F$92:$F$140,(ROW()-ROW($L$12))*7+(COLUMN()-COLUMN($L$12)))</f>
        <v>5.8445396917787829E-2</v>
      </c>
      <c r="N12" s="20" cm="1">
        <f t="array" ref="N12">INDEX($F$92:$F$140,(ROW()-ROW($L$12))*7+(COLUMN()-COLUMN($L$12)))</f>
        <v>4.841986259899711E-2</v>
      </c>
      <c r="O12" s="20" cm="1">
        <f t="array" ref="O12">INDEX($F$92:$F$140,(ROW()-ROW($L$12))*7+(COLUMN()-COLUMN($L$12)))</f>
        <v>3.9859706352953106E-2</v>
      </c>
      <c r="P12" s="20" cm="1">
        <f t="array" ref="P12">INDEX($F$92:$F$140,(ROW()-ROW($L$12))*7+(COLUMN()-COLUMN($L$12)))</f>
        <v>3.2438550061617111E-2</v>
      </c>
      <c r="Q12" s="20" cm="1">
        <f t="array" ref="Q12">INDEX($F$92:$F$140,(ROW()-ROW($L$12))*7+(COLUMN()-COLUMN($L$12)))</f>
        <v>2.5924153181407172E-2</v>
      </c>
      <c r="R12" s="20" cm="1">
        <f t="array" ref="R12">INDEX($F$92:$F$140,(ROW()-ROW($L$12))*7+(COLUMN()-COLUMN($L$12)))</f>
        <v>2.0146042733102831E-2</v>
      </c>
      <c r="S12" s="20" cm="1">
        <f t="array" ref="S12">INDEX($F$92:$F$140,(ROW()-ROW($L$12))*7+(COLUMN()-COLUMN($L$12)))</f>
        <v>1.4975799306865545E-2</v>
      </c>
    </row>
    <row r="13" spans="1:19" x14ac:dyDescent="0.3">
      <c r="B13" s="92">
        <f>B12+$B$5</f>
        <v>0.18</v>
      </c>
      <c r="C13" s="20" cm="1">
        <f t="array" ref="C13">INDEX($E$41:$E$89,(ROW()-ROW($B$12))*7+(COLUMN()-COLUMN($B$12)))</f>
        <v>1.7632603959895299E-2</v>
      </c>
      <c r="D13" s="20" cm="1">
        <f t="array" ref="D13">INDEX($E$41:$E$89,(ROW()-ROW($B$12))*7+(COLUMN()-COLUMN($B$12)))</f>
        <v>2.6251617517972559E-2</v>
      </c>
      <c r="E13" s="20" cm="1">
        <f t="array" ref="E13">INDEX($E$41:$E$89,(ROW()-ROW($B$12))*7+(COLUMN()-COLUMN($B$12)))</f>
        <v>3.4453575711416828E-2</v>
      </c>
      <c r="F13" s="20" cm="1">
        <f t="array" ref="F13">INDEX($E$41:$E$89,(ROW()-ROW($B$12))*7+(COLUMN()-COLUMN($B$12)))</f>
        <v>4.2300459488682662E-2</v>
      </c>
      <c r="G13" s="20" cm="1">
        <f t="array" ref="G13">INDEX($E$41:$E$89,(ROW()-ROW($B$12))*7+(COLUMN()-COLUMN($B$12)))</f>
        <v>4.9841645310515048E-2</v>
      </c>
      <c r="H13" s="20" cm="1">
        <f t="array" ref="H13">INDEX($E$41:$E$89,(ROW()-ROW($B$12))*7+(COLUMN()-COLUMN($B$12)))</f>
        <v>5.7117133237396311E-2</v>
      </c>
      <c r="I13" s="20" cm="1">
        <f t="array" ref="I13">INDEX($E$41:$E$89,(ROW()-ROW($B$12))*7+(COLUMN()-COLUMN($B$12)))</f>
        <v>6.4159797761206061E-2</v>
      </c>
      <c r="L13" s="92">
        <f t="shared" ref="L13:L18" si="2">$B13</f>
        <v>0.18</v>
      </c>
      <c r="M13" s="20" cm="1">
        <f t="array" ref="M13">INDEX($F$92:$F$140,(ROW()-ROW($L$12))*7+(COLUMN()-COLUMN($L$12)))</f>
        <v>7.004299241963885E-2</v>
      </c>
      <c r="N13" s="20" cm="1">
        <f t="array" ref="N13">INDEX($F$92:$F$140,(ROW()-ROW($L$12))*7+(COLUMN()-COLUMN($L$12)))</f>
        <v>5.9338123439840684E-2</v>
      </c>
      <c r="O13" s="20" cm="1">
        <f t="array" ref="O13">INDEX($F$92:$F$140,(ROW()-ROW($L$12))*7+(COLUMN()-COLUMN($L$12)))</f>
        <v>5.0208597031752511E-2</v>
      </c>
      <c r="P13" s="20" cm="1">
        <f t="array" ref="P13">INDEX($F$92:$F$140,(ROW()-ROW($L$12))*7+(COLUMN()-COLUMN($L$12)))</f>
        <v>4.2300459488682662E-2</v>
      </c>
      <c r="Q13" s="20" cm="1">
        <f t="array" ref="Q13">INDEX($F$92:$F$140,(ROW()-ROW($L$12))*7+(COLUMN()-COLUMN($L$12)))</f>
        <v>3.5362629641802146E-2</v>
      </c>
      <c r="R13" s="20" cm="1">
        <f t="array" ref="R13">INDEX($F$92:$F$140,(ROW()-ROW($L$12))*7+(COLUMN()-COLUMN($L$12)))</f>
        <v>2.9211304449601627E-2</v>
      </c>
      <c r="S13" s="20" cm="1">
        <f t="array" ref="S13">INDEX($F$92:$F$140,(ROW()-ROW($L$12))*7+(COLUMN()-COLUMN($L$12)))</f>
        <v>2.3708351851390086E-2</v>
      </c>
    </row>
    <row r="14" spans="1:19" x14ac:dyDescent="0.3">
      <c r="B14" s="92">
        <f t="shared" ref="B14:B18" si="3">B13+$B$5</f>
        <v>0.19500000000000001</v>
      </c>
      <c r="C14" s="20" cm="1">
        <f t="array" ref="C14">INDEX($E$41:$E$89,(ROW()-ROW($B$12))*7+(COLUMN()-COLUMN($B$12)))</f>
        <v>2.6251617517972559E-2</v>
      </c>
      <c r="D14" s="20" cm="1">
        <f t="array" ref="D14">INDEX($E$41:$E$89,(ROW()-ROW($B$12))*7+(COLUMN()-COLUMN($B$12)))</f>
        <v>3.512029077101797E-2</v>
      </c>
      <c r="E14" s="20" cm="1">
        <f t="array" ref="E14">INDEX($E$41:$E$89,(ROW()-ROW($B$12))*7+(COLUMN()-COLUMN($B$12)))</f>
        <v>4.357737059343636E-2</v>
      </c>
      <c r="F14" s="20" cm="1">
        <f t="array" ref="F14">INDEX($E$41:$E$89,(ROW()-ROW($B$12))*7+(COLUMN()-COLUMN($B$12)))</f>
        <v>5.1684034759089892E-2</v>
      </c>
      <c r="G14" s="20" cm="1">
        <f t="array" ref="G14">INDEX($E$41:$E$89,(ROW()-ROW($B$12))*7+(COLUMN()-COLUMN($B$12)))</f>
        <v>5.948910563283949E-2</v>
      </c>
      <c r="H14" s="20" cm="1">
        <f t="array" ref="H14">INDEX($E$41:$E$89,(ROW()-ROW($B$12))*7+(COLUMN()-COLUMN($B$12)))</f>
        <v>6.7032191834819121E-2</v>
      </c>
      <c r="I14" s="20" cm="1">
        <f t="array" ref="I14">INDEX($E$41:$E$89,(ROW()-ROW($B$12))*7+(COLUMN()-COLUMN($B$12)))</f>
        <v>7.4345885166156034E-2</v>
      </c>
      <c r="L14" s="92">
        <f t="shared" si="2"/>
        <v>0.19500000000000001</v>
      </c>
      <c r="M14" s="20" cm="1">
        <f t="array" ref="M14">INDEX($F$92:$F$140,(ROW()-ROW($L$12))*7+(COLUMN()-COLUMN($L$12)))</f>
        <v>8.1117302613061826E-2</v>
      </c>
      <c r="N14" s="20" cm="1">
        <f t="array" ref="N14">INDEX($F$92:$F$140,(ROW()-ROW($L$12))*7+(COLUMN()-COLUMN($L$12)))</f>
        <v>6.9747714726962284E-2</v>
      </c>
      <c r="O14" s="20" cm="1">
        <f t="array" ref="O14">INDEX($F$92:$F$140,(ROW()-ROW($L$12))*7+(COLUMN()-COLUMN($L$12)))</f>
        <v>6.0063965923921492E-2</v>
      </c>
      <c r="P14" s="20" cm="1">
        <f t="array" ref="P14">INDEX($F$92:$F$140,(ROW()-ROW($L$12))*7+(COLUMN()-COLUMN($L$12)))</f>
        <v>5.1684034759089892E-2</v>
      </c>
      <c r="Q14" s="20" cm="1">
        <f t="array" ref="Q14">INDEX($F$92:$F$140,(ROW()-ROW($L$12))*7+(COLUMN()-COLUMN($L$12)))</f>
        <v>4.4337720216415466E-2</v>
      </c>
      <c r="R14" s="20" cm="1">
        <f t="array" ref="R14">INDEX($F$92:$F$140,(ROW()-ROW($L$12))*7+(COLUMN()-COLUMN($L$12)))</f>
        <v>3.7827732393775015E-2</v>
      </c>
      <c r="S14" s="20" cm="1">
        <f t="array" ref="S14">INDEX($F$92:$F$140,(ROW()-ROW($L$12))*7+(COLUMN()-COLUMN($L$12)))</f>
        <v>3.2006142076516308E-2</v>
      </c>
    </row>
    <row r="15" spans="1:19" x14ac:dyDescent="0.3">
      <c r="B15" s="92">
        <f t="shared" si="3"/>
        <v>0.21000000000000002</v>
      </c>
      <c r="C15" s="20" cm="1">
        <f t="array" ref="C15">INDEX($E$41:$E$89,(ROW()-ROW($B$12))*7+(COLUMN()-COLUMN($B$12)))</f>
        <v>3.4453575711416828E-2</v>
      </c>
      <c r="D15" s="20" cm="1">
        <f t="array" ref="D15">INDEX($E$41:$E$89,(ROW()-ROW($B$12))*7+(COLUMN()-COLUMN($B$12)))</f>
        <v>4.357737059343636E-2</v>
      </c>
      <c r="E15" s="20" cm="1">
        <f t="array" ref="E15">INDEX($E$41:$E$89,(ROW()-ROW($B$12))*7+(COLUMN()-COLUMN($B$12)))</f>
        <v>5.2294577572431722E-2</v>
      </c>
      <c r="F15" s="107" cm="1">
        <f t="array" ref="F15">INDEX($E$41:$E$89,(ROW()-ROW($B$12))*7+(COLUMN()-COLUMN($B$12)))</f>
        <v>6.0665744754367479E-2</v>
      </c>
      <c r="G15" s="20" cm="1">
        <f t="array" ref="G15">INDEX($E$41:$E$89,(ROW()-ROW($B$12))*7+(COLUMN()-COLUMN($B$12)))</f>
        <v>6.8739260720334761E-2</v>
      </c>
      <c r="H15" s="20" cm="1">
        <f t="array" ref="H15">INDEX($E$41:$E$89,(ROW()-ROW($B$12))*7+(COLUMN()-COLUMN($B$12)))</f>
        <v>7.6554427573364947E-2</v>
      </c>
      <c r="I15" s="20" cm="1">
        <f t="array" ref="I15">INDEX($E$41:$E$89,(ROW()-ROW($B$12))*7+(COLUMN()-COLUMN($B$12)))</f>
        <v>8.4143614837626446E-2</v>
      </c>
      <c r="L15" s="92">
        <f t="shared" si="2"/>
        <v>0.21000000000000002</v>
      </c>
      <c r="M15" s="20" cm="1">
        <f t="array" ref="M15">INDEX($F$92:$F$140,(ROW()-ROW($L$12))*7+(COLUMN()-COLUMN($L$12)))</f>
        <v>9.1758396338171178E-2</v>
      </c>
      <c r="N15" s="20" cm="1">
        <f t="array" ref="N15">INDEX($F$92:$F$140,(ROW()-ROW($L$12))*7+(COLUMN()-COLUMN($L$12)))</f>
        <v>7.9733801002215055E-2</v>
      </c>
      <c r="O15" s="20" cm="1">
        <f t="array" ref="O15">INDEX($F$92:$F$140,(ROW()-ROW($L$12))*7+(COLUMN()-COLUMN($L$12)))</f>
        <v>6.9506456149041052E-2</v>
      </c>
      <c r="P15" s="107" cm="1">
        <f t="array" ref="P15">INDEX($F$92:$F$140,(ROW()-ROW($L$12))*7+(COLUMN()-COLUMN($L$12)))</f>
        <v>6.0665744754367479E-2</v>
      </c>
      <c r="Q15" s="20" cm="1">
        <f t="array" ref="Q15">INDEX($F$92:$F$140,(ROW()-ROW($L$12))*7+(COLUMN()-COLUMN($L$12)))</f>
        <v>5.2922032027391097E-2</v>
      </c>
      <c r="R15" s="20" cm="1">
        <f t="array" ref="R15">INDEX($F$92:$F$140,(ROW()-ROW($L$12))*7+(COLUMN()-COLUMN($L$12)))</f>
        <v>4.6064352881804993E-2</v>
      </c>
      <c r="S15" s="20" cm="1">
        <f t="array" ref="S15">INDEX($F$92:$F$140,(ROW()-ROW($L$12))*7+(COLUMN()-COLUMN($L$12)))</f>
        <v>3.9934868353873387E-2</v>
      </c>
    </row>
    <row r="16" spans="1:19" x14ac:dyDescent="0.3">
      <c r="B16" s="92">
        <f t="shared" si="3"/>
        <v>0.22500000000000003</v>
      </c>
      <c r="C16" s="20" cm="1">
        <f t="array" ref="C16">INDEX($E$41:$E$89,(ROW()-ROW($B$12))*7+(COLUMN()-COLUMN($B$12)))</f>
        <v>4.2300459488682662E-2</v>
      </c>
      <c r="D16" s="20" cm="1">
        <f t="array" ref="D16">INDEX($E$41:$E$89,(ROW()-ROW($B$12))*7+(COLUMN()-COLUMN($B$12)))</f>
        <v>5.1684034759089892E-2</v>
      </c>
      <c r="E16" s="20" cm="1">
        <f t="array" ref="E16">INDEX($E$41:$E$89,(ROW()-ROW($B$12))*7+(COLUMN()-COLUMN($B$12)))</f>
        <v>6.0665744754367479E-2</v>
      </c>
      <c r="F16" s="20" cm="1">
        <f t="array" ref="F16">INDEX($E$41:$E$89,(ROW()-ROW($B$12))*7+(COLUMN()-COLUMN($B$12)))</f>
        <v>6.9305635904836072E-2</v>
      </c>
      <c r="G16" s="20" cm="1">
        <f t="array" ref="G16">INDEX($E$41:$E$89,(ROW()-ROW($B$12))*7+(COLUMN()-COLUMN($B$12)))</f>
        <v>7.765175101104993E-2</v>
      </c>
      <c r="H16" s="20" cm="1">
        <f t="array" ref="H16">INDEX($E$41:$E$89,(ROW()-ROW($B$12))*7+(COLUMN()-COLUMN($B$12)))</f>
        <v>8.5743146714429841E-2</v>
      </c>
      <c r="I16" s="20" cm="1">
        <f t="array" ref="I16">INDEX($E$41:$E$89,(ROW()-ROW($B$12))*7+(COLUMN()-COLUMN($B$12)))</f>
        <v>9.3612012621544727E-2</v>
      </c>
      <c r="L16" s="92">
        <f t="shared" si="2"/>
        <v>0.22500000000000003</v>
      </c>
      <c r="M16" s="20" cm="1">
        <f t="array" ref="M16">INDEX($F$92:$F$140,(ROW()-ROW($L$12))*7+(COLUMN()-COLUMN($L$12)))</f>
        <v>0.10203617756299899</v>
      </c>
      <c r="N16" s="20" cm="1">
        <f t="array" ref="N16">INDEX($F$92:$F$140,(ROW()-ROW($L$12))*7+(COLUMN()-COLUMN($L$12)))</f>
        <v>8.9362756196837312E-2</v>
      </c>
      <c r="O16" s="20" cm="1">
        <f t="array" ref="O16">INDEX($F$92:$F$140,(ROW()-ROW($L$12))*7+(COLUMN()-COLUMN($L$12)))</f>
        <v>7.8599161129330408E-2</v>
      </c>
      <c r="P16" s="20" cm="1">
        <f t="array" ref="P16">INDEX($F$92:$F$140,(ROW()-ROW($L$12))*7+(COLUMN()-COLUMN($L$12)))</f>
        <v>6.9305635904835849E-2</v>
      </c>
      <c r="Q16" s="20" cm="1">
        <f t="array" ref="Q16">INDEX($F$92:$F$140,(ROW()-ROW($L$12))*7+(COLUMN()-COLUMN($L$12)))</f>
        <v>6.1172778202107203E-2</v>
      </c>
      <c r="R16" s="20" cm="1">
        <f t="array" ref="R16">INDEX($F$92:$F$140,(ROW()-ROW($L$12))*7+(COLUMN()-COLUMN($L$12)))</f>
        <v>5.3975739947016876E-2</v>
      </c>
      <c r="S16" s="20" cm="1">
        <f t="array" ref="S16">INDEX($F$92:$F$140,(ROW()-ROW($L$12))*7+(COLUMN()-COLUMN($L$12)))</f>
        <v>4.7546641963645442E-2</v>
      </c>
    </row>
    <row r="17" spans="1:19" x14ac:dyDescent="0.3">
      <c r="B17" s="92">
        <f t="shared" si="3"/>
        <v>0.24000000000000005</v>
      </c>
      <c r="C17" s="20" cm="1">
        <f t="array" ref="C17">INDEX($E$41:$E$89,(ROW()-ROW($B$12))*7+(COLUMN()-COLUMN($B$12)))</f>
        <v>4.9841645310515048E-2</v>
      </c>
      <c r="D17" s="20" cm="1">
        <f t="array" ref="D17">INDEX($E$41:$E$89,(ROW()-ROW($B$12))*7+(COLUMN()-COLUMN($B$12)))</f>
        <v>5.948910563283949E-2</v>
      </c>
      <c r="E17" s="20" cm="1">
        <f t="array" ref="E17">INDEX($E$41:$E$89,(ROW()-ROW($B$12))*7+(COLUMN()-COLUMN($B$12)))</f>
        <v>6.8739260720334761E-2</v>
      </c>
      <c r="F17" s="20" cm="1">
        <f t="array" ref="F17">INDEX($E$41:$E$89,(ROW()-ROW($B$12))*7+(COLUMN()-COLUMN($B$12)))</f>
        <v>7.765175101104993E-2</v>
      </c>
      <c r="G17" s="20" cm="1">
        <f t="array" ref="G17">INDEX($E$41:$E$89,(ROW()-ROW($B$12))*7+(COLUMN()-COLUMN($B$12)))</f>
        <v>8.6274338224927138E-2</v>
      </c>
      <c r="H17" s="20" cm="1">
        <f t="array" ref="H17">INDEX($E$41:$E$89,(ROW()-ROW($B$12))*7+(COLUMN()-COLUMN($B$12)))</f>
        <v>9.4645877145955071E-2</v>
      </c>
      <c r="I17" s="20" cm="1">
        <f t="array" ref="I17">INDEX($E$41:$E$89,(ROW()-ROW($B$12))*7+(COLUMN()-COLUMN($B$12)))</f>
        <v>0.10279840665656303</v>
      </c>
      <c r="L17" s="92">
        <f t="shared" si="2"/>
        <v>0.24000000000000005</v>
      </c>
      <c r="M17" s="20" cm="1">
        <f t="array" ref="M17">INDEX($F$92:$F$140,(ROW()-ROW($L$12))*7+(COLUMN()-COLUMN($L$12)))</f>
        <v>0.11200599883106377</v>
      </c>
      <c r="N17" s="20" cm="1">
        <f t="array" ref="N17">INDEX($F$92:$F$140,(ROW()-ROW($L$12))*7+(COLUMN()-COLUMN($L$12)))</f>
        <v>9.8687335699375156E-2</v>
      </c>
      <c r="O17" s="20" cm="1">
        <f t="array" ref="O17">INDEX($F$92:$F$140,(ROW()-ROW($L$12))*7+(COLUMN()-COLUMN($L$12)))</f>
        <v>8.7392400738103282E-2</v>
      </c>
      <c r="P17" s="20" cm="1">
        <f t="array" ref="P17">INDEX($F$92:$F$140,(ROW()-ROW($L$12))*7+(COLUMN()-COLUMN($L$12)))</f>
        <v>7.765175101104993E-2</v>
      </c>
      <c r="Q17" s="20" cm="1">
        <f t="array" ref="Q17">INDEX($F$92:$F$140,(ROW()-ROW($L$12))*7+(COLUMN()-COLUMN($L$12)))</f>
        <v>6.9135873447745411E-2</v>
      </c>
      <c r="R17" s="20" cm="1">
        <f t="array" ref="R17">INDEX($F$92:$F$140,(ROW()-ROW($L$12))*7+(COLUMN()-COLUMN($L$12)))</f>
        <v>6.1605817560537401E-2</v>
      </c>
      <c r="S17" s="20" cm="1">
        <f t="array" ref="S17">INDEX($F$92:$F$140,(ROW()-ROW($L$12))*7+(COLUMN()-COLUMN($L$12)))</f>
        <v>5.4883522001107687E-2</v>
      </c>
    </row>
    <row r="18" spans="1:19" x14ac:dyDescent="0.3">
      <c r="B18" s="92">
        <f t="shared" si="3"/>
        <v>0.25500000000000006</v>
      </c>
      <c r="C18" s="20" cm="1">
        <f t="array" ref="C18">INDEX($E$41:$E$89,(ROW()-ROW($B$12))*7+(COLUMN()-COLUMN($B$12)))</f>
        <v>5.7117133237396311E-2</v>
      </c>
      <c r="D18" s="20" cm="1">
        <f t="array" ref="D18">INDEX($E$41:$E$89,(ROW()-ROW($B$12))*7+(COLUMN()-COLUMN($B$12)))</f>
        <v>6.7032191834819121E-2</v>
      </c>
      <c r="E18" s="20" cm="1">
        <f t="array" ref="E18">INDEX($E$41:$E$89,(ROW()-ROW($B$12))*7+(COLUMN()-COLUMN($B$12)))</f>
        <v>7.6554427573364947E-2</v>
      </c>
      <c r="F18" s="20" cm="1">
        <f t="array" ref="F18">INDEX($E$41:$E$89,(ROW()-ROW($B$12))*7+(COLUMN()-COLUMN($B$12)))</f>
        <v>8.5743146714429841E-2</v>
      </c>
      <c r="G18" s="20" cm="1">
        <f t="array" ref="G18">INDEX($E$41:$E$89,(ROW()-ROW($B$12))*7+(COLUMN()-COLUMN($B$12)))</f>
        <v>9.4645877145955071E-2</v>
      </c>
      <c r="H18" s="20" cm="1">
        <f t="array" ref="H18">INDEX($E$41:$E$89,(ROW()-ROW($B$12))*7+(COLUMN()-COLUMN($B$12)))</f>
        <v>0.10330130255804715</v>
      </c>
      <c r="I18" s="20" cm="1">
        <f t="array" ref="I18">INDEX($E$41:$E$89,(ROW()-ROW($B$12))*7+(COLUMN()-COLUMN($B$12)))</f>
        <v>0.11174133029906352</v>
      </c>
      <c r="L18" s="92">
        <f t="shared" si="2"/>
        <v>0.25500000000000006</v>
      </c>
      <c r="M18" s="20" cm="1">
        <f t="array" ref="M18">INDEX($F$92:$F$140,(ROW()-ROW($L$12))*7+(COLUMN()-COLUMN($L$12)))</f>
        <v>0.12171243538034937</v>
      </c>
      <c r="N18" s="20" cm="1">
        <f t="array" ref="N18">INDEX($F$92:$F$140,(ROW()-ROW($L$12))*7+(COLUMN()-COLUMN($L$12)))</f>
        <v>0.10775017189746583</v>
      </c>
      <c r="O18" s="20" cm="1">
        <f t="array" ref="O18">INDEX($F$92:$F$140,(ROW()-ROW($L$12))*7+(COLUMN()-COLUMN($L$12)))</f>
        <v>9.592696588472438E-2</v>
      </c>
      <c r="P18" s="20" cm="1">
        <f t="array" ref="P18">INDEX($F$92:$F$140,(ROW()-ROW($L$12))*7+(COLUMN()-COLUMN($L$12)))</f>
        <v>8.5743146714429841E-2</v>
      </c>
      <c r="Q18" s="20" cm="1">
        <f t="array" ref="Q18">INDEX($F$92:$F$140,(ROW()-ROW($L$12))*7+(COLUMN()-COLUMN($L$12)))</f>
        <v>7.6848744579826267E-2</v>
      </c>
      <c r="R18" s="20" cm="1">
        <f t="array" ref="R18">INDEX($F$92:$F$140,(ROW()-ROW($L$12))*7+(COLUMN()-COLUMN($L$12)))</f>
        <v>6.899048130411134E-2</v>
      </c>
      <c r="S18" s="20" cm="1">
        <f t="array" ref="S18">INDEX($F$92:$F$140,(ROW()-ROW($L$12))*7+(COLUMN()-COLUMN($L$12)))</f>
        <v>6.197996436872244E-2</v>
      </c>
    </row>
    <row r="21" spans="1:19" x14ac:dyDescent="0.3">
      <c r="A21" s="4" t="s">
        <v>241</v>
      </c>
    </row>
    <row r="22" spans="1:19" x14ac:dyDescent="0.3">
      <c r="C22" s="33" t="s">
        <v>236</v>
      </c>
    </row>
    <row r="23" spans="1:19" x14ac:dyDescent="0.3">
      <c r="B23" s="90" t="s">
        <v>242</v>
      </c>
      <c r="C23" s="91">
        <f>C$11</f>
        <v>0.06</v>
      </c>
      <c r="D23" s="91">
        <f t="shared" ref="D23:I23" si="4">D$11</f>
        <v>6.5000000000000002E-2</v>
      </c>
      <c r="E23" s="91">
        <f t="shared" si="4"/>
        <v>7.0000000000000007E-2</v>
      </c>
      <c r="F23" s="91">
        <f t="shared" si="4"/>
        <v>7.5000000000000011E-2</v>
      </c>
      <c r="G23" s="91">
        <f t="shared" si="4"/>
        <v>8.0000000000000016E-2</v>
      </c>
      <c r="H23" s="91">
        <f t="shared" si="4"/>
        <v>8.500000000000002E-2</v>
      </c>
      <c r="I23" s="91">
        <f t="shared" si="4"/>
        <v>9.0000000000000024E-2</v>
      </c>
    </row>
    <row r="24" spans="1:19" x14ac:dyDescent="0.3">
      <c r="A24" s="32" t="s">
        <v>239</v>
      </c>
      <c r="B24" s="92">
        <f>$B12</f>
        <v>0.16499999999999998</v>
      </c>
      <c r="C24" s="55" cm="1">
        <f t="array" ref="C24">INDEX($F$41:$F$89,(ROW()-ROW($B$24))*7+(COLUMN()-COLUMN($B$24)))</f>
        <v>-32.555476142957531</v>
      </c>
      <c r="D24" s="55" cm="1">
        <f t="array" ref="D24">INDEX($F$41:$F$89,(ROW()-ROW($B$24))*7+(COLUMN()-COLUMN($B$24)))</f>
        <v>-30.175416693722319</v>
      </c>
      <c r="E24" s="55" cm="1">
        <f t="array" ref="E24">INDEX($F$41:$F$89,(ROW()-ROW($B$24))*7+(COLUMN()-COLUMN($B$24)))</f>
        <v>-27.795357244487093</v>
      </c>
      <c r="F24" s="55" cm="1">
        <f t="array" ref="F24">INDEX($F$41:$F$89,(ROW()-ROW($B$24))*7+(COLUMN()-COLUMN($B$24)))</f>
        <v>-25.41529779525186</v>
      </c>
      <c r="G24" s="55" cm="1">
        <f t="array" ref="G24">INDEX($F$41:$F$89,(ROW()-ROW($B$24))*7+(COLUMN()-COLUMN($B$24)))</f>
        <v>-23.035238346016655</v>
      </c>
      <c r="H24" s="55" cm="1">
        <f t="array" ref="H24">INDEX($F$41:$F$89,(ROW()-ROW($B$24))*7+(COLUMN()-COLUMN($B$24)))</f>
        <v>-20.655178896781422</v>
      </c>
      <c r="I24" s="55" cm="1">
        <f t="array" ref="I24">INDEX($F$41:$F$89,(ROW()-ROW($B$24))*7+(COLUMN()-COLUMN($B$24)))</f>
        <v>-18.275119447546203</v>
      </c>
    </row>
    <row r="25" spans="1:19" x14ac:dyDescent="0.3">
      <c r="B25" s="92">
        <f t="shared" ref="B25:B30" si="5">$B13</f>
        <v>0.18</v>
      </c>
      <c r="C25" s="55" cm="1">
        <f t="array" ref="C25">INDEX($F$41:$F$89,(ROW()-ROW($B$24))*7+(COLUMN()-COLUMN($B$24)))</f>
        <v>-29.959047652882742</v>
      </c>
      <c r="D25" s="55" cm="1">
        <f t="array" ref="D25">INDEX($F$41:$F$89,(ROW()-ROW($B$24))*7+(COLUMN()-COLUMN($B$24)))</f>
        <v>-27.362619162807952</v>
      </c>
      <c r="E25" s="55" cm="1">
        <f t="array" ref="E25">INDEX($F$41:$F$89,(ROW()-ROW($B$24))*7+(COLUMN()-COLUMN($B$24)))</f>
        <v>-24.766190672733174</v>
      </c>
      <c r="F25" s="55" cm="1">
        <f t="array" ref="F25">INDEX($F$41:$F$89,(ROW()-ROW($B$24))*7+(COLUMN()-COLUMN($B$24)))</f>
        <v>-22.169762182658388</v>
      </c>
      <c r="G25" s="55" cm="1">
        <f t="array" ref="G25">INDEX($F$41:$F$89,(ROW()-ROW($B$24))*7+(COLUMN()-COLUMN($B$24)))</f>
        <v>-19.573333692583596</v>
      </c>
      <c r="H25" s="55" cm="1">
        <f t="array" ref="H25">INDEX($F$41:$F$89,(ROW()-ROW($B$24))*7+(COLUMN()-COLUMN($B$24)))</f>
        <v>-16.976905202508803</v>
      </c>
      <c r="I25" s="55" cm="1">
        <f t="array" ref="I25">INDEX($F$41:$F$89,(ROW()-ROW($B$24))*7+(COLUMN()-COLUMN($B$24)))</f>
        <v>-14.380476712434024</v>
      </c>
    </row>
    <row r="26" spans="1:19" x14ac:dyDescent="0.3">
      <c r="B26" s="92">
        <f t="shared" si="5"/>
        <v>0.19500000000000001</v>
      </c>
      <c r="C26" s="55" cm="1">
        <f t="array" ref="C26">INDEX($F$41:$F$89,(ROW()-ROW($B$24))*7+(COLUMN()-COLUMN($B$24)))</f>
        <v>-27.362619162807952</v>
      </c>
      <c r="D26" s="55" cm="1">
        <f t="array" ref="D26">INDEX($F$41:$F$89,(ROW()-ROW($B$24))*7+(COLUMN()-COLUMN($B$24)))</f>
        <v>-24.549821631893607</v>
      </c>
      <c r="E26" s="55" cm="1">
        <f t="array" ref="E26">INDEX($F$41:$F$89,(ROW()-ROW($B$24))*7+(COLUMN()-COLUMN($B$24)))</f>
        <v>-21.737024100979255</v>
      </c>
      <c r="F26" s="55" cm="1">
        <f t="array" ref="F26">INDEX($F$41:$F$89,(ROW()-ROW($B$24))*7+(COLUMN()-COLUMN($B$24)))</f>
        <v>-18.924226570064917</v>
      </c>
      <c r="G26" s="55" cm="1">
        <f t="array" ref="G26">INDEX($F$41:$F$89,(ROW()-ROW($B$24))*7+(COLUMN()-COLUMN($B$24)))</f>
        <v>-16.111429039150551</v>
      </c>
      <c r="H26" s="55" cm="1">
        <f t="array" ref="H26">INDEX($F$41:$F$89,(ROW()-ROW($B$24))*7+(COLUMN()-COLUMN($B$24)))</f>
        <v>-13.298631508236191</v>
      </c>
      <c r="I26" s="55" cm="1">
        <f t="array" ref="I26">INDEX($F$41:$F$89,(ROW()-ROW($B$24))*7+(COLUMN()-COLUMN($B$24)))</f>
        <v>-10.485833977321832</v>
      </c>
    </row>
    <row r="27" spans="1:19" x14ac:dyDescent="0.3">
      <c r="B27" s="92">
        <f t="shared" si="5"/>
        <v>0.21000000000000002</v>
      </c>
      <c r="C27" s="55" cm="1">
        <f t="array" ref="C27">INDEX($F$41:$F$89,(ROW()-ROW($B$24))*7+(COLUMN()-COLUMN($B$24)))</f>
        <v>-24.766190672733174</v>
      </c>
      <c r="D27" s="55" cm="1">
        <f t="array" ref="D27">INDEX($F$41:$F$89,(ROW()-ROW($B$24))*7+(COLUMN()-COLUMN($B$24)))</f>
        <v>-21.737024100979248</v>
      </c>
      <c r="E27" s="55" cm="1">
        <f t="array" ref="E27">INDEX($F$41:$F$89,(ROW()-ROW($B$24))*7+(COLUMN()-COLUMN($B$24)))</f>
        <v>-18.707857529225336</v>
      </c>
      <c r="F27" s="108" cm="1">
        <f t="array" ref="F27">INDEX($F$41:$F$89,(ROW()-ROW($B$24))*7+(COLUMN()-COLUMN($B$24)))</f>
        <v>-15.67869095747141</v>
      </c>
      <c r="G27" s="55" cm="1">
        <f t="array" ref="G27">INDEX($F$41:$F$89,(ROW()-ROW($B$24))*7+(COLUMN()-COLUMN($B$24)))</f>
        <v>-12.649524385717484</v>
      </c>
      <c r="H27" s="55" cm="1">
        <f t="array" ref="H27">INDEX($F$41:$F$89,(ROW()-ROW($B$24))*7+(COLUMN()-COLUMN($B$24)))</f>
        <v>-9.6203578139635866</v>
      </c>
      <c r="I27" s="55" cm="1">
        <f t="array" ref="I27">INDEX($F$41:$F$89,(ROW()-ROW($B$24))*7+(COLUMN()-COLUMN($B$24)))</f>
        <v>-6.5911912422096606</v>
      </c>
    </row>
    <row r="28" spans="1:19" x14ac:dyDescent="0.3">
      <c r="B28" s="92">
        <f t="shared" si="5"/>
        <v>0.22500000000000003</v>
      </c>
      <c r="C28" s="55" cm="1">
        <f t="array" ref="C28">INDEX($F$41:$F$89,(ROW()-ROW($B$24))*7+(COLUMN()-COLUMN($B$24)))</f>
        <v>-22.169762182658388</v>
      </c>
      <c r="D28" s="55" cm="1">
        <f t="array" ref="D28">INDEX($F$41:$F$89,(ROW()-ROW($B$24))*7+(COLUMN()-COLUMN($B$24)))</f>
        <v>-18.924226570064917</v>
      </c>
      <c r="E28" s="55" cm="1">
        <f t="array" ref="E28">INDEX($F$41:$F$89,(ROW()-ROW($B$24))*7+(COLUMN()-COLUMN($B$24)))</f>
        <v>-15.67869095747141</v>
      </c>
      <c r="F28" s="55" cm="1">
        <f t="array" ref="F28">INDEX($F$41:$F$89,(ROW()-ROW($B$24))*7+(COLUMN()-COLUMN($B$24)))</f>
        <v>-12.433155344877925</v>
      </c>
      <c r="G28" s="55" cm="1">
        <f t="array" ref="G28">INDEX($F$41:$F$89,(ROW()-ROW($B$24))*7+(COLUMN()-COLUMN($B$24)))</f>
        <v>-9.1876197322844462</v>
      </c>
      <c r="H28" s="55" cm="1">
        <f t="array" ref="H28">INDEX($F$41:$F$89,(ROW()-ROW($B$24))*7+(COLUMN()-COLUMN($B$24)))</f>
        <v>-5.9420841196909606</v>
      </c>
      <c r="I28" s="55" cm="1">
        <f t="array" ref="I28">INDEX($F$41:$F$89,(ROW()-ROW($B$24))*7+(COLUMN()-COLUMN($B$24)))</f>
        <v>-2.6965485070974751</v>
      </c>
    </row>
    <row r="29" spans="1:19" x14ac:dyDescent="0.3">
      <c r="B29" s="92">
        <f t="shared" si="5"/>
        <v>0.24000000000000005</v>
      </c>
      <c r="C29" s="55" cm="1">
        <f t="array" ref="C29">INDEX($F$41:$F$89,(ROW()-ROW($B$24))*7+(COLUMN()-COLUMN($B$24)))</f>
        <v>-19.57333369258361</v>
      </c>
      <c r="D29" s="55" cm="1">
        <f t="array" ref="D29">INDEX($F$41:$F$89,(ROW()-ROW($B$24))*7+(COLUMN()-COLUMN($B$24)))</f>
        <v>-16.111429039150551</v>
      </c>
      <c r="E29" s="55" cm="1">
        <f t="array" ref="E29">INDEX($F$41:$F$89,(ROW()-ROW($B$24))*7+(COLUMN()-COLUMN($B$24)))</f>
        <v>-12.649524385717484</v>
      </c>
      <c r="F29" s="55" cm="1">
        <f t="array" ref="F29">INDEX($F$41:$F$89,(ROW()-ROW($B$24))*7+(COLUMN()-COLUMN($B$24)))</f>
        <v>-9.1876197322844391</v>
      </c>
      <c r="G29" s="55" cm="1">
        <f t="array" ref="G29">INDEX($F$41:$F$89,(ROW()-ROW($B$24))*7+(COLUMN()-COLUMN($B$24)))</f>
        <v>-5.7257150788514011</v>
      </c>
      <c r="H29" s="55" cm="1">
        <f t="array" ref="H29">INDEX($F$41:$F$89,(ROW()-ROW($B$24))*7+(COLUMN()-COLUMN($B$24)))</f>
        <v>-2.2638104254183418</v>
      </c>
      <c r="I29" s="55" cm="1">
        <f t="array" ref="I29">INDEX($F$41:$F$89,(ROW()-ROW($B$24))*7+(COLUMN()-COLUMN($B$24)))</f>
        <v>1.1980942280147033</v>
      </c>
    </row>
    <row r="30" spans="1:19" x14ac:dyDescent="0.3">
      <c r="B30" s="92">
        <f t="shared" si="5"/>
        <v>0.25500000000000006</v>
      </c>
      <c r="C30" s="55" cm="1">
        <f t="array" ref="C30">INDEX($F$41:$F$89,(ROW()-ROW($B$24))*7+(COLUMN()-COLUMN($B$24)))</f>
        <v>-16.976905202508803</v>
      </c>
      <c r="D30" s="55" cm="1">
        <f t="array" ref="D30">INDEX($F$41:$F$89,(ROW()-ROW($B$24))*7+(COLUMN()-COLUMN($B$24)))</f>
        <v>-13.298631508236184</v>
      </c>
      <c r="E30" s="55" cm="1">
        <f t="array" ref="E30">INDEX($F$41:$F$89,(ROW()-ROW($B$24))*7+(COLUMN()-COLUMN($B$24)))</f>
        <v>-9.6203578139635866</v>
      </c>
      <c r="F30" s="55" cm="1">
        <f t="array" ref="F30">INDEX($F$41:$F$89,(ROW()-ROW($B$24))*7+(COLUMN()-COLUMN($B$24)))</f>
        <v>-5.9420841196909606</v>
      </c>
      <c r="G30" s="55" cm="1">
        <f t="array" ref="G30">INDEX($F$41:$F$89,(ROW()-ROW($B$24))*7+(COLUMN()-COLUMN($B$24)))</f>
        <v>-2.2638104254183418</v>
      </c>
      <c r="H30" s="55" cm="1">
        <f t="array" ref="H30">INDEX($F$41:$F$89,(ROW()-ROW($B$24))*7+(COLUMN()-COLUMN($B$24)))</f>
        <v>1.4144632688542629</v>
      </c>
      <c r="I30" s="55" cm="1">
        <f t="array" ref="I30">INDEX($F$41:$F$89,(ROW()-ROW($B$24))*7+(COLUMN()-COLUMN($B$24)))</f>
        <v>5.0927369631268959</v>
      </c>
    </row>
    <row r="31" spans="1:19" x14ac:dyDescent="0.3">
      <c r="A31" s="3" t="s">
        <v>243</v>
      </c>
    </row>
    <row r="32" spans="1:19" outlineLevel="1" x14ac:dyDescent="0.3">
      <c r="A32" s="109" t="s">
        <v>244</v>
      </c>
    </row>
    <row r="33" spans="1:28" outlineLevel="1" x14ac:dyDescent="0.3">
      <c r="A33" s="93" t="s">
        <v>245</v>
      </c>
    </row>
    <row r="34" spans="1:28" outlineLevel="1" x14ac:dyDescent="0.3">
      <c r="G34" s="94" t="s">
        <v>246</v>
      </c>
      <c r="H34" s="31">
        <v>0</v>
      </c>
      <c r="I34" s="31">
        <f>H34+1</f>
        <v>1</v>
      </c>
      <c r="J34" s="31">
        <f t="shared" ref="J34:AB34" si="6">I34+1</f>
        <v>2</v>
      </c>
      <c r="K34" s="31">
        <f t="shared" si="6"/>
        <v>3</v>
      </c>
      <c r="L34" s="31">
        <f t="shared" si="6"/>
        <v>4</v>
      </c>
      <c r="M34" s="31">
        <f t="shared" si="6"/>
        <v>5</v>
      </c>
      <c r="N34" s="31">
        <f t="shared" si="6"/>
        <v>6</v>
      </c>
      <c r="O34" s="31">
        <f t="shared" si="6"/>
        <v>7</v>
      </c>
      <c r="P34" s="31">
        <f t="shared" si="6"/>
        <v>8</v>
      </c>
      <c r="Q34" s="31">
        <f t="shared" si="6"/>
        <v>9</v>
      </c>
      <c r="R34" s="31">
        <f t="shared" si="6"/>
        <v>10</v>
      </c>
      <c r="S34" s="31">
        <f t="shared" si="6"/>
        <v>11</v>
      </c>
      <c r="T34" s="31">
        <f t="shared" si="6"/>
        <v>12</v>
      </c>
      <c r="U34" s="31">
        <f t="shared" si="6"/>
        <v>13</v>
      </c>
      <c r="V34" s="31">
        <f t="shared" si="6"/>
        <v>14</v>
      </c>
      <c r="W34" s="31">
        <f t="shared" si="6"/>
        <v>15</v>
      </c>
      <c r="X34" s="31">
        <f t="shared" si="6"/>
        <v>16</v>
      </c>
      <c r="Y34" s="31">
        <f t="shared" si="6"/>
        <v>17</v>
      </c>
      <c r="Z34" s="31">
        <f t="shared" si="6"/>
        <v>18</v>
      </c>
      <c r="AA34" s="31">
        <f t="shared" si="6"/>
        <v>19</v>
      </c>
      <c r="AB34" s="31">
        <f t="shared" si="6"/>
        <v>20</v>
      </c>
    </row>
    <row r="35" spans="1:28" outlineLevel="1" x14ac:dyDescent="0.3">
      <c r="G35" s="95" t="s">
        <v>247</v>
      </c>
      <c r="H35" s="96">
        <f>IF(OR(H34=0,H34&gt;Assumptions!$B$20),0,(1+Assumptions!$B$24)^(H34-1))</f>
        <v>0</v>
      </c>
      <c r="I35" s="96">
        <f>IF(OR(I34=0,I34&gt;Assumptions!$B$20),0,(1+Assumptions!$B$24)^(I34-1))</f>
        <v>1</v>
      </c>
      <c r="J35" s="96">
        <f>IF(OR(J34=0,J34&gt;Assumptions!$B$20),0,(1+Assumptions!$B$24)^(J34-1))</f>
        <v>1.0149999999999999</v>
      </c>
      <c r="K35" s="96">
        <f>IF(OR(K34=0,K34&gt;Assumptions!$B$20),0,(1+Assumptions!$B$24)^(K34-1))</f>
        <v>1.0302249999999997</v>
      </c>
      <c r="L35" s="96">
        <f>IF(OR(L34=0,L34&gt;Assumptions!$B$20),0,(1+Assumptions!$B$24)^(L34-1))</f>
        <v>1.0456783749999996</v>
      </c>
      <c r="M35" s="96">
        <f>IF(OR(M34=0,M34&gt;Assumptions!$B$20),0,(1+Assumptions!$B$24)^(M34-1))</f>
        <v>1.0613635506249994</v>
      </c>
      <c r="N35" s="96">
        <f>IF(OR(N34=0,N34&gt;Assumptions!$B$20),0,(1+Assumptions!$B$24)^(N34-1))</f>
        <v>1.0772840038843743</v>
      </c>
      <c r="O35" s="96">
        <f>IF(OR(O34=0,O34&gt;Assumptions!$B$20),0,(1+Assumptions!$B$24)^(O34-1))</f>
        <v>1.0934432639426397</v>
      </c>
      <c r="P35" s="96">
        <f>IF(OR(P34=0,P34&gt;Assumptions!$B$20),0,(1+Assumptions!$B$24)^(P34-1))</f>
        <v>1.1098449129017791</v>
      </c>
      <c r="Q35" s="96">
        <f>IF(OR(Q34=0,Q34&gt;Assumptions!$B$20),0,(1+Assumptions!$B$24)^(Q34-1))</f>
        <v>1.1264925865953057</v>
      </c>
      <c r="R35" s="96">
        <f>IF(OR(R34=0,R34&gt;Assumptions!$B$20),0,(1+Assumptions!$B$24)^(R34-1))</f>
        <v>1.1433899753942351</v>
      </c>
      <c r="S35" s="96">
        <f>IF(OR(S34=0,S34&gt;Assumptions!$B$20),0,(1+Assumptions!$B$24)^(S34-1))</f>
        <v>1.1605408250251485</v>
      </c>
      <c r="T35" s="96">
        <f>IF(OR(T34=0,T34&gt;Assumptions!$B$20),0,(1+Assumptions!$B$24)^(T34-1))</f>
        <v>1.1779489374005256</v>
      </c>
      <c r="U35" s="96">
        <f>IF(OR(U34=0,U34&gt;Assumptions!$B$20),0,(1+Assumptions!$B$24)^(U34-1))</f>
        <v>1.1956181714615333</v>
      </c>
      <c r="V35" s="96">
        <f>IF(OR(V34=0,V34&gt;Assumptions!$B$20),0,(1+Assumptions!$B$24)^(V34-1))</f>
        <v>1.2135524440334562</v>
      </c>
      <c r="W35" s="96">
        <f>IF(OR(W34=0,W34&gt;Assumptions!$B$20),0,(1+Assumptions!$B$24)^(W34-1))</f>
        <v>1.2317557306939577</v>
      </c>
      <c r="X35" s="96">
        <f>IF(OR(X34=0,X34&gt;Assumptions!$B$20),0,(1+Assumptions!$B$24)^(X34-1))</f>
        <v>1.2502320666543669</v>
      </c>
      <c r="Y35" s="96">
        <f>IF(OR(Y34=0,Y34&gt;Assumptions!$B$20),0,(1+Assumptions!$B$24)^(Y34-1))</f>
        <v>1.2689855476541823</v>
      </c>
      <c r="Z35" s="96">
        <f>IF(OR(Z34=0,Z34&gt;Assumptions!$B$20),0,(1+Assumptions!$B$24)^(Z34-1))</f>
        <v>1.2880203308689948</v>
      </c>
      <c r="AA35" s="96">
        <f>IF(OR(AA34=0,AA34&gt;Assumptions!$B$20),0,(1+Assumptions!$B$24)^(AA34-1))</f>
        <v>1.3073406358320296</v>
      </c>
      <c r="AB35" s="96">
        <f>IF(OR(AB34=0,AB34&gt;Assumptions!$B$20),0,(1+Assumptions!$B$24)^(AB34-1))</f>
        <v>1.32695074536951</v>
      </c>
    </row>
    <row r="36" spans="1:28" outlineLevel="1" x14ac:dyDescent="0.3">
      <c r="G36" s="95" t="s">
        <v>248</v>
      </c>
      <c r="H36" s="97">
        <f>IF(OR(H34=0,H34&gt;Assumptions!$B$20),0,Assumptions!$B$26*(1+Assumptions!$B$27)^(H34-1))</f>
        <v>0</v>
      </c>
      <c r="I36" s="97">
        <f>IF(OR(I34=0,I34&gt;Assumptions!$B$20),0,Assumptions!$B$26*(1+Assumptions!$B$27)^(I34-1))</f>
        <v>1.2</v>
      </c>
      <c r="J36" s="97">
        <f>IF(OR(J34=0,J34&gt;Assumptions!$B$20),0,Assumptions!$B$26*(1+Assumptions!$B$27)^(J34-1))</f>
        <v>1.236</v>
      </c>
      <c r="K36" s="97">
        <f>IF(OR(K34=0,K34&gt;Assumptions!$B$20),0,Assumptions!$B$26*(1+Assumptions!$B$27)^(K34-1))</f>
        <v>1.27308</v>
      </c>
      <c r="L36" s="97">
        <f>IF(OR(L34=0,L34&gt;Assumptions!$B$20),0,Assumptions!$B$26*(1+Assumptions!$B$27)^(L34-1))</f>
        <v>1.3112724</v>
      </c>
      <c r="M36" s="97">
        <f>IF(OR(M34=0,M34&gt;Assumptions!$B$20),0,Assumptions!$B$26*(1+Assumptions!$B$27)^(M34-1))</f>
        <v>1.3506105719999999</v>
      </c>
      <c r="N36" s="97">
        <f>IF(OR(N34=0,N34&gt;Assumptions!$B$20),0,Assumptions!$B$26*(1+Assumptions!$B$27)^(N34-1))</f>
        <v>1.3911288891599998</v>
      </c>
      <c r="O36" s="97">
        <f>IF(OR(O34=0,O34&gt;Assumptions!$B$20),0,Assumptions!$B$26*(1+Assumptions!$B$27)^(O34-1))</f>
        <v>1.4328627558347999</v>
      </c>
      <c r="P36" s="97">
        <f>IF(OR(P34=0,P34&gt;Assumptions!$B$20),0,Assumptions!$B$26*(1+Assumptions!$B$27)^(P34-1))</f>
        <v>1.4758486385098439</v>
      </c>
      <c r="Q36" s="97">
        <f>IF(OR(Q34=0,Q34&gt;Assumptions!$B$20),0,Assumptions!$B$26*(1+Assumptions!$B$27)^(Q34-1))</f>
        <v>1.5201240976651391</v>
      </c>
      <c r="R36" s="97">
        <f>IF(OR(R34=0,R34&gt;Assumptions!$B$20),0,Assumptions!$B$26*(1+Assumptions!$B$27)^(R34-1))</f>
        <v>1.5657278205950933</v>
      </c>
      <c r="S36" s="97">
        <f>IF(OR(S34=0,S34&gt;Assumptions!$B$20),0,Assumptions!$B$26*(1+Assumptions!$B$27)^(S34-1))</f>
        <v>1.612699655212946</v>
      </c>
      <c r="T36" s="97">
        <f>IF(OR(T34=0,T34&gt;Assumptions!$B$20),0,Assumptions!$B$26*(1+Assumptions!$B$27)^(T34-1))</f>
        <v>1.6610806448693345</v>
      </c>
      <c r="U36" s="97">
        <f>IF(OR(U34=0,U34&gt;Assumptions!$B$20),0,Assumptions!$B$26*(1+Assumptions!$B$27)^(U34-1))</f>
        <v>1.7109130642154142</v>
      </c>
      <c r="V36" s="97">
        <f>IF(OR(V34=0,V34&gt;Assumptions!$B$20),0,Assumptions!$B$26*(1+Assumptions!$B$27)^(V34-1))</f>
        <v>1.7622404561418767</v>
      </c>
      <c r="W36" s="97">
        <f>IF(OR(W34=0,W34&gt;Assumptions!$B$20),0,Assumptions!$B$26*(1+Assumptions!$B$27)^(W34-1))</f>
        <v>1.815107669826133</v>
      </c>
      <c r="X36" s="97">
        <f>IF(OR(X34=0,X34&gt;Assumptions!$B$20),0,Assumptions!$B$26*(1+Assumptions!$B$27)^(X34-1))</f>
        <v>1.8695608999209172</v>
      </c>
      <c r="Y36" s="97">
        <f>IF(OR(Y34=0,Y34&gt;Assumptions!$B$20),0,Assumptions!$B$26*(1+Assumptions!$B$27)^(Y34-1))</f>
        <v>1.9256477269185444</v>
      </c>
      <c r="Z36" s="97">
        <f>IF(OR(Z34=0,Z34&gt;Assumptions!$B$20),0,Assumptions!$B$26*(1+Assumptions!$B$27)^(Z34-1))</f>
        <v>1.9834171587261007</v>
      </c>
      <c r="AA36" s="97">
        <f>IF(OR(AA34=0,AA34&gt;Assumptions!$B$20),0,Assumptions!$B$26*(1+Assumptions!$B$27)^(AA34-1))</f>
        <v>2.0429196734878836</v>
      </c>
      <c r="AB36" s="97">
        <f>IF(OR(AB34=0,AB34&gt;Assumptions!$B$20),0,Assumptions!$B$26*(1+Assumptions!$B$27)^(AB34-1))</f>
        <v>2.1042072636925204</v>
      </c>
    </row>
    <row r="37" spans="1:28" outlineLevel="1" x14ac:dyDescent="0.3">
      <c r="G37" s="95" t="s">
        <v>249</v>
      </c>
      <c r="H37" s="97">
        <f>IF(AND(H34&gt;=1,H34&lt;=Assumptions!$B$31),Assumptions!$B$15/Assumptions!$B$31,0)</f>
        <v>0</v>
      </c>
      <c r="I37" s="97">
        <f>IF(AND(I34&gt;=1,I34&lt;=Assumptions!$B$31),Assumptions!$B$15/Assumptions!$B$31,0)</f>
        <v>3</v>
      </c>
      <c r="J37" s="97">
        <f>IF(AND(J34&gt;=1,J34&lt;=Assumptions!$B$31),Assumptions!$B$15/Assumptions!$B$31,0)</f>
        <v>3</v>
      </c>
      <c r="K37" s="97">
        <f>IF(AND(K34&gt;=1,K34&lt;=Assumptions!$B$31),Assumptions!$B$15/Assumptions!$B$31,0)</f>
        <v>3</v>
      </c>
      <c r="L37" s="97">
        <f>IF(AND(L34&gt;=1,L34&lt;=Assumptions!$B$31),Assumptions!$B$15/Assumptions!$B$31,0)</f>
        <v>3</v>
      </c>
      <c r="M37" s="97">
        <f>IF(AND(M34&gt;=1,M34&lt;=Assumptions!$B$31),Assumptions!$B$15/Assumptions!$B$31,0)</f>
        <v>3</v>
      </c>
      <c r="N37" s="97">
        <f>IF(AND(N34&gt;=1,N34&lt;=Assumptions!$B$31),Assumptions!$B$15/Assumptions!$B$31,0)</f>
        <v>3</v>
      </c>
      <c r="O37" s="97">
        <f>IF(AND(O34&gt;=1,O34&lt;=Assumptions!$B$31),Assumptions!$B$15/Assumptions!$B$31,0)</f>
        <v>3</v>
      </c>
      <c r="P37" s="97">
        <f>IF(AND(P34&gt;=1,P34&lt;=Assumptions!$B$31),Assumptions!$B$15/Assumptions!$B$31,0)</f>
        <v>3</v>
      </c>
      <c r="Q37" s="97">
        <f>IF(AND(Q34&gt;=1,Q34&lt;=Assumptions!$B$31),Assumptions!$B$15/Assumptions!$B$31,0)</f>
        <v>3</v>
      </c>
      <c r="R37" s="97">
        <f>IF(AND(R34&gt;=1,R34&lt;=Assumptions!$B$31),Assumptions!$B$15/Assumptions!$B$31,0)</f>
        <v>3</v>
      </c>
      <c r="S37" s="97">
        <f>IF(AND(S34&gt;=1,S34&lt;=Assumptions!$B$31),Assumptions!$B$15/Assumptions!$B$31,0)</f>
        <v>3</v>
      </c>
      <c r="T37" s="97">
        <f>IF(AND(T34&gt;=1,T34&lt;=Assumptions!$B$31),Assumptions!$B$15/Assumptions!$B$31,0)</f>
        <v>3</v>
      </c>
      <c r="U37" s="97">
        <f>IF(AND(U34&gt;=1,U34&lt;=Assumptions!$B$31),Assumptions!$B$15/Assumptions!$B$31,0)</f>
        <v>3</v>
      </c>
      <c r="V37" s="97">
        <f>IF(AND(V34&gt;=1,V34&lt;=Assumptions!$B$31),Assumptions!$B$15/Assumptions!$B$31,0)</f>
        <v>3</v>
      </c>
      <c r="W37" s="97">
        <f>IF(AND(W34&gt;=1,W34&lt;=Assumptions!$B$31),Assumptions!$B$15/Assumptions!$B$31,0)</f>
        <v>3</v>
      </c>
      <c r="X37" s="97">
        <f>IF(AND(X34&gt;=1,X34&lt;=Assumptions!$B$31),Assumptions!$B$15/Assumptions!$B$31,0)</f>
        <v>3</v>
      </c>
      <c r="Y37" s="97">
        <f>IF(AND(Y34&gt;=1,Y34&lt;=Assumptions!$B$31),Assumptions!$B$15/Assumptions!$B$31,0)</f>
        <v>3</v>
      </c>
      <c r="Z37" s="97">
        <f>IF(AND(Z34&gt;=1,Z34&lt;=Assumptions!$B$31),Assumptions!$B$15/Assumptions!$B$31,0)</f>
        <v>3</v>
      </c>
      <c r="AA37" s="97">
        <f>IF(AND(AA34&gt;=1,AA34&lt;=Assumptions!$B$31),Assumptions!$B$15/Assumptions!$B$31,0)</f>
        <v>3</v>
      </c>
      <c r="AB37" s="97">
        <f>IF(AND(AB34&gt;=1,AB34&lt;=Assumptions!$B$31),Assumptions!$B$15/Assumptions!$B$31,0)</f>
        <v>3</v>
      </c>
    </row>
    <row r="38" spans="1:28" outlineLevel="1" x14ac:dyDescent="0.3">
      <c r="G38" s="95" t="s">
        <v>250</v>
      </c>
      <c r="H38" s="97">
        <f>IF(H34=0,-Assumptions!$B$15,0)</f>
        <v>-60</v>
      </c>
      <c r="I38" s="97">
        <f>IF(I34=0,-Assumptions!$B$15,0)</f>
        <v>0</v>
      </c>
      <c r="J38" s="97">
        <f>IF(J34=0,-Assumptions!$B$15,0)</f>
        <v>0</v>
      </c>
      <c r="K38" s="97">
        <f>IF(K34=0,-Assumptions!$B$15,0)</f>
        <v>0</v>
      </c>
      <c r="L38" s="97">
        <f>IF(L34=0,-Assumptions!$B$15,0)</f>
        <v>0</v>
      </c>
      <c r="M38" s="97">
        <f>IF(M34=0,-Assumptions!$B$15,0)</f>
        <v>0</v>
      </c>
      <c r="N38" s="97">
        <f>IF(N34=0,-Assumptions!$B$15,0)</f>
        <v>0</v>
      </c>
      <c r="O38" s="97">
        <f>IF(O34=0,-Assumptions!$B$15,0)</f>
        <v>0</v>
      </c>
      <c r="P38" s="97">
        <f>IF(P34=0,-Assumptions!$B$15,0)</f>
        <v>0</v>
      </c>
      <c r="Q38" s="97">
        <f>IF(Q34=0,-Assumptions!$B$15,0)</f>
        <v>0</v>
      </c>
      <c r="R38" s="97">
        <f>IF(R34=0,-Assumptions!$B$15,0)</f>
        <v>0</v>
      </c>
      <c r="S38" s="97">
        <f>IF(S34=0,-Assumptions!$B$15,0)</f>
        <v>0</v>
      </c>
      <c r="T38" s="97">
        <f>IF(T34=0,-Assumptions!$B$15,0)</f>
        <v>0</v>
      </c>
      <c r="U38" s="97">
        <f>IF(U34=0,-Assumptions!$B$15,0)</f>
        <v>0</v>
      </c>
      <c r="V38" s="97">
        <f>IF(V34=0,-Assumptions!$B$15,0)</f>
        <v>0</v>
      </c>
      <c r="W38" s="97">
        <f>IF(W34=0,-Assumptions!$B$15,0)</f>
        <v>0</v>
      </c>
      <c r="X38" s="97">
        <f>IF(X34=0,-Assumptions!$B$15,0)</f>
        <v>0</v>
      </c>
      <c r="Y38" s="97">
        <f>IF(Y34=0,-Assumptions!$B$15,0)</f>
        <v>0</v>
      </c>
      <c r="Z38" s="97">
        <f>IF(Z34=0,-Assumptions!$B$15,0)</f>
        <v>0</v>
      </c>
      <c r="AA38" s="97">
        <f>IF(AA34=0,-Assumptions!$B$15,0)</f>
        <v>0</v>
      </c>
      <c r="AB38" s="97">
        <f>IF(AB34=0,-Assumptions!$B$15,0)</f>
        <v>0</v>
      </c>
    </row>
    <row r="39" spans="1:28" outlineLevel="1" x14ac:dyDescent="0.3"/>
    <row r="40" spans="1:28" outlineLevel="1" x14ac:dyDescent="0.3">
      <c r="A40" s="99" t="s">
        <v>251</v>
      </c>
      <c r="B40" s="99" t="s">
        <v>252</v>
      </c>
      <c r="C40" s="99" t="s">
        <v>253</v>
      </c>
      <c r="D40" s="99" t="s">
        <v>254</v>
      </c>
      <c r="E40" s="99" t="s">
        <v>238</v>
      </c>
      <c r="F40" s="99" t="s">
        <v>255</v>
      </c>
      <c r="H40" s="98" t="s">
        <v>256</v>
      </c>
    </row>
    <row r="41" spans="1:28" outlineLevel="1" x14ac:dyDescent="0.3">
      <c r="A41" s="100">
        <f>ROW()-40</f>
        <v>1</v>
      </c>
      <c r="B41" s="101" cm="1">
        <f t="array" ref="B41">INDEX($B$12:$B$18,ROUNDUP((ROW()-40)/7,0))</f>
        <v>0.16499999999999998</v>
      </c>
      <c r="C41" s="102">
        <f>Assumptions!$B$10*$B41</f>
        <v>72.27</v>
      </c>
      <c r="D41" s="103" cm="1">
        <f t="array" ref="D41">INDEX($C$11:$I$11,MOD(ROW()-41,7)+1)</f>
        <v>0.06</v>
      </c>
      <c r="E41" s="101">
        <f>IRR(H41:AB41)</f>
        <v>8.5171815986033739E-3</v>
      </c>
      <c r="F41" s="104">
        <f>H41+NPV(Assumptions!$B$34,I41:AB41)</f>
        <v>-32.555476142957531</v>
      </c>
      <c r="H41" s="105">
        <f>H$38+IF(H$35=0,0,($C41*$D41*H$35)-H$36-MAX(0,($C41*$D41*H$35)-H$36-H$37)*Assumptions!$B$33)</f>
        <v>-60</v>
      </c>
      <c r="I41" s="105">
        <f>I$38+IF(I$35=0,0,($C41*$D41*I$35)-I$36-MAX(0,($C41*$D41*I$35)-I$36-I$37)*Assumptions!$B$33)</f>
        <v>3.0953399999999998</v>
      </c>
      <c r="J41" s="105">
        <f>J$38+IF(J$35=0,0,($C41*$D41*J$35)-J$36-MAX(0,($C41*$D41*J$35)-J$36-J$37)*Assumptions!$B$33)</f>
        <v>3.1156700999999996</v>
      </c>
      <c r="K41" s="105">
        <f>K$38+IF(K$35=0,0,($C41*$D41*K$35)-K$36-MAX(0,($C41*$D41*K$35)-K$36-K$37)*Assumptions!$B$33)</f>
        <v>3.1359271514999989</v>
      </c>
      <c r="L41" s="105">
        <f>L$38+IF(L$35=0,0,($C41*$D41*L$35)-L$36-MAX(0,($C41*$D41*L$35)-L$36-L$37)*Assumptions!$B$33)</f>
        <v>3.1560987187724985</v>
      </c>
      <c r="M41" s="105">
        <f>M$38+IF(M$35=0,0,($C41*$D41*M$35)-M$36-MAX(0,($C41*$D41*M$35)-M$36-M$37)*Assumptions!$B$33)</f>
        <v>3.1761718393540854</v>
      </c>
      <c r="N41" s="105">
        <f>N$38+IF(N$35=0,0,($C41*$D41*N$35)-N$36-MAX(0,($C41*$D41*N$35)-N$36-N$37)*Assumptions!$B$33)</f>
        <v>3.1961330059383966</v>
      </c>
      <c r="O41" s="105">
        <f>O$38+IF(O$35=0,0,($C41*$D41*O$35)-O$36-MAX(0,($C41*$D41*O$35)-O$36-O$37)*Assumptions!$B$33)</f>
        <v>3.2159681476912914</v>
      </c>
      <c r="P41" s="105">
        <f>P$38+IF(P$35=0,0,($C41*$D41*P$35)-P$36-MAX(0,($C41*$D41*P$35)-P$36-P$37)*Assumptions!$B$33)</f>
        <v>3.2356626109703948</v>
      </c>
      <c r="Q41" s="105">
        <f>Q$38+IF(Q$35=0,0,($C41*$D41*Q$35)-Q$36-MAX(0,($C41*$D41*Q$35)-Q$36-Q$37)*Assumptions!$B$33)</f>
        <v>3.2552011394305977</v>
      </c>
      <c r="R41" s="105">
        <f>R$38+IF(R$35=0,0,($C41*$D41*R$35)-R$36-MAX(0,($C41*$D41*R$35)-R$36-R$37)*Assumptions!$B$33)</f>
        <v>3.2745678534965728</v>
      </c>
      <c r="S41" s="105">
        <f>S$38+IF(S$35=0,0,($C41*$D41*S$35)-S$36-MAX(0,($C41*$D41*S$35)-S$36-S$37)*Assumptions!$B$33)</f>
        <v>3.2937462291827719</v>
      </c>
      <c r="T41" s="105">
        <f>T$38+IF(T$35=0,0,($C41*$D41*T$35)-T$36-MAX(0,($C41*$D41*T$35)-T$36-T$37)*Assumptions!$B$33)</f>
        <v>3.3127190762407772</v>
      </c>
      <c r="U41" s="105">
        <f>U$38+IF(U$35=0,0,($C41*$D41*U$35)-U$36-MAX(0,($C41*$D41*U$35)-U$36-U$37)*Assumptions!$B$33)</f>
        <v>3.3314685156132606</v>
      </c>
      <c r="V41" s="105">
        <f>V$38+IF(V$35=0,0,($C41*$D41*V$35)-V$36-MAX(0,($C41*$D41*V$35)-V$36-V$37)*Assumptions!$B$33)</f>
        <v>3.3499759561731972</v>
      </c>
      <c r="W41" s="105">
        <f>W$38+IF(W$35=0,0,($C41*$D41*W$35)-W$36-MAX(0,($C41*$D41*W$35)-W$36-W$37)*Assumptions!$B$33)</f>
        <v>3.3682220707263046</v>
      </c>
      <c r="X41" s="105">
        <f>X$38+IF(X$35=0,0,($C41*$D41*X$35)-X$36-MAX(0,($C41*$D41*X$35)-X$36-X$37)*Assumptions!$B$33)</f>
        <v>3.3861867712540237</v>
      </c>
      <c r="Y41" s="105">
        <f>Y$38+IF(Y$35=0,0,($C41*$D41*Y$35)-Y$36-MAX(0,($C41*$D41*Y$35)-Y$36-Y$37)*Assumptions!$B$33)</f>
        <v>3.4038491833736644</v>
      </c>
      <c r="Z41" s="105">
        <f>Z$38+IF(Z$35=0,0,($C41*$D41*Z$35)-Z$36-MAX(0,($C41*$D41*Z$35)-Z$36-Z$37)*Assumptions!$B$33)</f>
        <v>3.4211876199916236</v>
      </c>
      <c r="AA41" s="105">
        <f>AA$38+IF(AA$35=0,0,($C41*$D41*AA$35)-AA$36-MAX(0,($C41*$D41*AA$35)-AA$36-AA$37)*Assumptions!$B$33)</f>
        <v>3.4381795541248739</v>
      </c>
      <c r="AB41" s="105">
        <f>AB$38+IF(AB$35=0,0,($C41*$D41*AB$35)-AB$36-MAX(0,($C41*$D41*AB$35)-AB$36-AB$37)*Assumptions!$B$33)</f>
        <v>3.4548015908651242</v>
      </c>
    </row>
    <row r="42" spans="1:28" outlineLevel="1" x14ac:dyDescent="0.3">
      <c r="A42" s="100">
        <f t="shared" ref="A42:A89" si="7">ROW()-40</f>
        <v>2</v>
      </c>
      <c r="B42" s="101" cm="1">
        <f t="array" ref="B42">INDEX($B$12:$B$18,ROUNDUP((ROW()-40)/7,0))</f>
        <v>0.16499999999999998</v>
      </c>
      <c r="C42" s="102">
        <f>Assumptions!$B$10*$B42</f>
        <v>72.27</v>
      </c>
      <c r="D42" s="103" cm="1">
        <f t="array" ref="D42">INDEX($C$11:$I$11,MOD(ROW()-41,7)+1)</f>
        <v>6.5000000000000002E-2</v>
      </c>
      <c r="E42" s="101">
        <f t="shared" ref="E42:E89" si="8">IRR(H42:AB42)</f>
        <v>1.6893192349767716E-2</v>
      </c>
      <c r="F42" s="104">
        <f>H42+NPV(Assumptions!$B$34,I42:AB42)</f>
        <v>-30.175416693722319</v>
      </c>
      <c r="H42" s="105">
        <f>H$38+IF(H$35=0,0,($C42*$D42*H$35)-H$36-MAX(0,($C42*$D42*H$35)-H$36-H$37)*Assumptions!$B$33)</f>
        <v>-60</v>
      </c>
      <c r="I42" s="105">
        <f>I$38+IF(I$35=0,0,($C42*$D42*I$35)-I$36-MAX(0,($C42*$D42*I$35)-I$36-I$37)*Assumptions!$B$33)</f>
        <v>3.3482849999999997</v>
      </c>
      <c r="J42" s="105">
        <f>J$38+IF(J$35=0,0,($C42*$D42*J$35)-J$36-MAX(0,($C42*$D42*J$35)-J$36-J$37)*Assumptions!$B$33)</f>
        <v>3.3724092749999994</v>
      </c>
      <c r="K42" s="105">
        <f>K$38+IF(K$35=0,0,($C42*$D42*K$35)-K$36-MAX(0,($C42*$D42*K$35)-K$36-K$37)*Assumptions!$B$33)</f>
        <v>3.3965174141249985</v>
      </c>
      <c r="L42" s="105">
        <f>L$38+IF(L$35=0,0,($C42*$D42*L$35)-L$36-MAX(0,($C42*$D42*L$35)-L$36-L$37)*Assumptions!$B$33)</f>
        <v>3.4205978353368733</v>
      </c>
      <c r="M42" s="105">
        <f>M$38+IF(M$35=0,0,($C42*$D42*M$35)-M$36-MAX(0,($C42*$D42*M$35)-M$36-M$37)*Assumptions!$B$33)</f>
        <v>3.4446384426669261</v>
      </c>
      <c r="N42" s="105">
        <f>N$38+IF(N$35=0,0,($C42*$D42*N$35)-N$36-MAX(0,($C42*$D42*N$35)-N$36-N$37)*Assumptions!$B$33)</f>
        <v>3.4686266083009292</v>
      </c>
      <c r="O42" s="105">
        <f>O$38+IF(O$35=0,0,($C42*$D42*O$35)-O$36-MAX(0,($C42*$D42*O$35)-O$36-O$37)*Assumptions!$B$33)</f>
        <v>3.4925491540892626</v>
      </c>
      <c r="P42" s="105">
        <f>P$38+IF(P$35=0,0,($C42*$D42*P$35)-P$36-MAX(0,($C42*$D42*P$35)-P$36-P$37)*Assumptions!$B$33)</f>
        <v>3.5163923324643354</v>
      </c>
      <c r="Q42" s="105">
        <f>Q$38+IF(Q$35=0,0,($C42*$D42*Q$35)-Q$36-MAX(0,($C42*$D42*Q$35)-Q$36-Q$37)*Assumptions!$B$33)</f>
        <v>3.5401418067469468</v>
      </c>
      <c r="R42" s="105">
        <f>R$38+IF(R$35=0,0,($C42*$D42*R$35)-R$36-MAX(0,($C42*$D42*R$35)-R$36-R$37)*Assumptions!$B$33)</f>
        <v>3.5637826308226668</v>
      </c>
      <c r="S42" s="105">
        <f>S$38+IF(S$35=0,0,($C42*$D42*S$35)-S$36-MAX(0,($C42*$D42*S$35)-S$36-S$37)*Assumptions!$B$33)</f>
        <v>3.5872992281687579</v>
      </c>
      <c r="T42" s="105">
        <f>T$38+IF(T$35=0,0,($C42*$D42*T$35)-T$36-MAX(0,($C42*$D42*T$35)-T$36-T$37)*Assumptions!$B$33)</f>
        <v>3.610675370211553</v>
      </c>
      <c r="U42" s="105">
        <f>U$38+IF(U$35=0,0,($C42*$D42*U$35)-U$36-MAX(0,($C42*$D42*U$35)-U$36-U$37)*Assumptions!$B$33)</f>
        <v>3.6338941539935976</v>
      </c>
      <c r="V42" s="105">
        <f>V$38+IF(V$35=0,0,($C42*$D42*V$35)-V$36-MAX(0,($C42*$D42*V$35)-V$36-V$37)*Assumptions!$B$33)</f>
        <v>3.6569379791292396</v>
      </c>
      <c r="W42" s="105">
        <f>W$38+IF(W$35=0,0,($C42*$D42*W$35)-W$36-MAX(0,($C42*$D42*W$35)-W$36-W$37)*Assumptions!$B$33)</f>
        <v>3.6797885240266872</v>
      </c>
      <c r="X42" s="105">
        <f>X$38+IF(X$35=0,0,($C42*$D42*X$35)-X$36-MAX(0,($C42*$D42*X$35)-X$36-X$37)*Assumptions!$B$33)</f>
        <v>3.7024267213539126</v>
      </c>
      <c r="Y42" s="105">
        <f>Y$38+IF(Y$35=0,0,($C42*$D42*Y$35)-Y$36-MAX(0,($C42*$D42*Y$35)-Y$36-Y$37)*Assumptions!$B$33)</f>
        <v>3.7248327327250514</v>
      </c>
      <c r="Z42" s="105">
        <f>Z$38+IF(Z$35=0,0,($C42*$D42*Z$35)-Z$36-MAX(0,($C42*$D42*Z$35)-Z$36-Z$37)*Assumptions!$B$33)</f>
        <v>3.7469859225832813</v>
      </c>
      <c r="AA42" s="105">
        <f>AA$38+IF(AA$35=0,0,($C42*$D42*AA$35)-AA$36-MAX(0,($C42*$D42*AA$35)-AA$36-AA$37)*Assumptions!$B$33)</f>
        <v>3.7688648312554065</v>
      </c>
      <c r="AB42" s="105">
        <f>AB$38+IF(AB$35=0,0,($C42*$D42*AB$35)-AB$36-MAX(0,($C42*$D42*AB$35)-AB$36-AB$37)*Assumptions!$B$33)</f>
        <v>3.7904471471526149</v>
      </c>
    </row>
    <row r="43" spans="1:28" outlineLevel="1" x14ac:dyDescent="0.3">
      <c r="A43" s="100">
        <f t="shared" si="7"/>
        <v>3</v>
      </c>
      <c r="B43" s="101" cm="1">
        <f t="array" ref="B43">INDEX($B$12:$B$18,ROUNDUP((ROW()-40)/7,0))</f>
        <v>0.16499999999999998</v>
      </c>
      <c r="C43" s="102">
        <f>Assumptions!$B$10*$B43</f>
        <v>72.27</v>
      </c>
      <c r="D43" s="103" cm="1">
        <f t="array" ref="D43">INDEX($C$11:$I$11,MOD(ROW()-41,7)+1)</f>
        <v>7.0000000000000007E-2</v>
      </c>
      <c r="E43" s="101">
        <f t="shared" si="8"/>
        <v>2.4845974193148379E-2</v>
      </c>
      <c r="F43" s="104">
        <f>H43+NPV(Assumptions!$B$34,I43:AB43)</f>
        <v>-27.795357244487093</v>
      </c>
      <c r="H43" s="105">
        <f>H$38+IF(H$35=0,0,($C43*$D43*H$35)-H$36-MAX(0,($C43*$D43*H$35)-H$36-H$37)*Assumptions!$B$33)</f>
        <v>-60</v>
      </c>
      <c r="I43" s="105">
        <f>I$38+IF(I$35=0,0,($C43*$D43*I$35)-I$36-MAX(0,($C43*$D43*I$35)-I$36-I$37)*Assumptions!$B$33)</f>
        <v>3.6012300000000002</v>
      </c>
      <c r="J43" s="105">
        <f>J$38+IF(J$35=0,0,($C43*$D43*J$35)-J$36-MAX(0,($C43*$D43*J$35)-J$36-J$37)*Assumptions!$B$33)</f>
        <v>3.6291484500000002</v>
      </c>
      <c r="K43" s="105">
        <f>K$38+IF(K$35=0,0,($C43*$D43*K$35)-K$36-MAX(0,($C43*$D43*K$35)-K$36-K$37)*Assumptions!$B$33)</f>
        <v>3.657107676749999</v>
      </c>
      <c r="L43" s="105">
        <f>L$38+IF(L$35=0,0,($C43*$D43*L$35)-L$36-MAX(0,($C43*$D43*L$35)-L$36-L$37)*Assumptions!$B$33)</f>
        <v>3.6850969519012486</v>
      </c>
      <c r="M43" s="105">
        <f>M$38+IF(M$35=0,0,($C43*$D43*M$35)-M$36-MAX(0,($C43*$D43*M$35)-M$36-M$37)*Assumptions!$B$33)</f>
        <v>3.7131050459797668</v>
      </c>
      <c r="N43" s="105">
        <f>N$38+IF(N$35=0,0,($C43*$D43*N$35)-N$36-MAX(0,($C43*$D43*N$35)-N$36-N$37)*Assumptions!$B$33)</f>
        <v>3.7411202106634627</v>
      </c>
      <c r="O43" s="105">
        <f>O$38+IF(O$35=0,0,($C43*$D43*O$35)-O$36-MAX(0,($C43*$D43*O$35)-O$36-O$37)*Assumptions!$B$33)</f>
        <v>3.7691301604872338</v>
      </c>
      <c r="P43" s="105">
        <f>P$38+IF(P$35=0,0,($C43*$D43*P$35)-P$36-MAX(0,($C43*$D43*P$35)-P$36-P$37)*Assumptions!$B$33)</f>
        <v>3.7971220539582768</v>
      </c>
      <c r="Q43" s="105">
        <f>Q$38+IF(Q$35=0,0,($C43*$D43*Q$35)-Q$36-MAX(0,($C43*$D43*Q$35)-Q$36-Q$37)*Assumptions!$B$33)</f>
        <v>3.8250824740632972</v>
      </c>
      <c r="R43" s="105">
        <f>R$38+IF(R$35=0,0,($C43*$D43*R$35)-R$36-MAX(0,($C43*$D43*R$35)-R$36-R$37)*Assumptions!$B$33)</f>
        <v>3.8529974081487621</v>
      </c>
      <c r="S43" s="105">
        <f>S$38+IF(S$35=0,0,($C43*$D43*S$35)-S$36-MAX(0,($C43*$D43*S$35)-S$36-S$37)*Assumptions!$B$33)</f>
        <v>3.8808522271547448</v>
      </c>
      <c r="T43" s="105">
        <f>T$38+IF(T$35=0,0,($C43*$D43*T$35)-T$36-MAX(0,($C43*$D43*T$35)-T$36-T$37)*Assumptions!$B$33)</f>
        <v>3.9086316641823298</v>
      </c>
      <c r="U43" s="105">
        <f>U$38+IF(U$35=0,0,($C43*$D43*U$35)-U$36-MAX(0,($C43*$D43*U$35)-U$36-U$37)*Assumptions!$B$33)</f>
        <v>3.9363197923739359</v>
      </c>
      <c r="V43" s="105">
        <f>V$38+IF(V$35=0,0,($C43*$D43*V$35)-V$36-MAX(0,($C43*$D43*V$35)-V$36-V$37)*Assumptions!$B$33)</f>
        <v>3.9639000020852824</v>
      </c>
      <c r="W43" s="105">
        <f>W$38+IF(W$35=0,0,($C43*$D43*W$35)-W$36-MAX(0,($C43*$D43*W$35)-W$36-W$37)*Assumptions!$B$33)</f>
        <v>3.9913549773270711</v>
      </c>
      <c r="X43" s="105">
        <f>X$38+IF(X$35=0,0,($C43*$D43*X$35)-X$36-MAX(0,($C43*$D43*X$35)-X$36-X$37)*Assumptions!$B$33)</f>
        <v>4.0186666714538024</v>
      </c>
      <c r="Y43" s="105">
        <f>Y$38+IF(Y$35=0,0,($C43*$D43*Y$35)-Y$36-MAX(0,($C43*$D43*Y$35)-Y$36-Y$37)*Assumptions!$B$33)</f>
        <v>4.045816282076439</v>
      </c>
      <c r="Z43" s="105">
        <f>Z$38+IF(Z$35=0,0,($C43*$D43*Z$35)-Z$36-MAX(0,($C43*$D43*Z$35)-Z$36-Z$37)*Assumptions!$B$33)</f>
        <v>4.0727842251749404</v>
      </c>
      <c r="AA43" s="105">
        <f>AA$38+IF(AA$35=0,0,($C43*$D43*AA$35)-AA$36-MAX(0,($C43*$D43*AA$35)-AA$36-AA$37)*Assumptions!$B$33)</f>
        <v>4.09955010838594</v>
      </c>
      <c r="AB43" s="105">
        <f>AB$38+IF(AB$35=0,0,($C43*$D43*AB$35)-AB$36-MAX(0,($C43*$D43*AB$35)-AB$36-AB$37)*Assumptions!$B$33)</f>
        <v>4.1260927034401051</v>
      </c>
    </row>
    <row r="44" spans="1:28" outlineLevel="1" x14ac:dyDescent="0.3">
      <c r="A44" s="100">
        <f t="shared" si="7"/>
        <v>4</v>
      </c>
      <c r="B44" s="101" cm="1">
        <f t="array" ref="B44">INDEX($B$12:$B$18,ROUNDUP((ROW()-40)/7,0))</f>
        <v>0.16499999999999998</v>
      </c>
      <c r="C44" s="102">
        <f>Assumptions!$B$10*$B44</f>
        <v>72.27</v>
      </c>
      <c r="D44" s="103" cm="1">
        <f t="array" ref="D44">INDEX($C$11:$I$11,MOD(ROW()-41,7)+1)</f>
        <v>7.5000000000000011E-2</v>
      </c>
      <c r="E44" s="101">
        <f t="shared" si="8"/>
        <v>3.2438550061617111E-2</v>
      </c>
      <c r="F44" s="104">
        <f>H44+NPV(Assumptions!$B$34,I44:AB44)</f>
        <v>-25.41529779525186</v>
      </c>
      <c r="H44" s="105">
        <f>H$38+IF(H$35=0,0,($C44*$D44*H$35)-H$36-MAX(0,($C44*$D44*H$35)-H$36-H$37)*Assumptions!$B$33)</f>
        <v>-60</v>
      </c>
      <c r="I44" s="105">
        <f>I$38+IF(I$35=0,0,($C44*$D44*I$35)-I$36-MAX(0,($C44*$D44*I$35)-I$36-I$37)*Assumptions!$B$33)</f>
        <v>3.8541750000000001</v>
      </c>
      <c r="J44" s="105">
        <f>J$38+IF(J$35=0,0,($C44*$D44*J$35)-J$36-MAX(0,($C44*$D44*J$35)-J$36-J$37)*Assumptions!$B$33)</f>
        <v>3.8858876249999996</v>
      </c>
      <c r="K44" s="105">
        <f>K$38+IF(K$35=0,0,($C44*$D44*K$35)-K$36-MAX(0,($C44*$D44*K$35)-K$36-K$37)*Assumptions!$B$33)</f>
        <v>3.9176979393749991</v>
      </c>
      <c r="L44" s="105">
        <f>L$38+IF(L$35=0,0,($C44*$D44*L$35)-L$36-MAX(0,($C44*$D44*L$35)-L$36-L$37)*Assumptions!$B$33)</f>
        <v>3.9495960684656239</v>
      </c>
      <c r="M44" s="105">
        <f>M$38+IF(M$35=0,0,($C44*$D44*M$35)-M$36-MAX(0,($C44*$D44*M$35)-M$36-M$37)*Assumptions!$B$33)</f>
        <v>3.9815716492926074</v>
      </c>
      <c r="N44" s="105">
        <f>N$38+IF(N$35=0,0,($C44*$D44*N$35)-N$36-MAX(0,($C44*$D44*N$35)-N$36-N$37)*Assumptions!$B$33)</f>
        <v>4.0136138130259962</v>
      </c>
      <c r="O44" s="105">
        <f>O$38+IF(O$35=0,0,($C44*$D44*O$35)-O$36-MAX(0,($C44*$D44*O$35)-O$36-O$37)*Assumptions!$B$33)</f>
        <v>4.045711166885205</v>
      </c>
      <c r="P44" s="105">
        <f>P$38+IF(P$35=0,0,($C44*$D44*P$35)-P$36-MAX(0,($C44*$D44*P$35)-P$36-P$37)*Assumptions!$B$33)</f>
        <v>4.077851775452217</v>
      </c>
      <c r="Q44" s="105">
        <f>Q$38+IF(Q$35=0,0,($C44*$D44*Q$35)-Q$36-MAX(0,($C44*$D44*Q$35)-Q$36-Q$37)*Assumptions!$B$33)</f>
        <v>4.1100231413796466</v>
      </c>
      <c r="R44" s="105">
        <f>R$38+IF(R$35=0,0,($C44*$D44*R$35)-R$36-MAX(0,($C44*$D44*R$35)-R$36-R$37)*Assumptions!$B$33)</f>
        <v>4.1422121854748575</v>
      </c>
      <c r="S44" s="105">
        <f>S$38+IF(S$35=0,0,($C44*$D44*S$35)-S$36-MAX(0,($C44*$D44*S$35)-S$36-S$37)*Assumptions!$B$33)</f>
        <v>4.1744052261407312</v>
      </c>
      <c r="T44" s="105">
        <f>T$38+IF(T$35=0,0,($C44*$D44*T$35)-T$36-MAX(0,($C44*$D44*T$35)-T$36-T$37)*Assumptions!$B$33)</f>
        <v>4.206587958153106</v>
      </c>
      <c r="U44" s="105">
        <f>U$38+IF(U$35=0,0,($C44*$D44*U$35)-U$36-MAX(0,($C44*$D44*U$35)-U$36-U$37)*Assumptions!$B$33)</f>
        <v>4.2387454307542729</v>
      </c>
      <c r="V44" s="105">
        <f>V$38+IF(V$35=0,0,($C44*$D44*V$35)-V$36-MAX(0,($C44*$D44*V$35)-V$36-V$37)*Assumptions!$B$33)</f>
        <v>4.2708620250413256</v>
      </c>
      <c r="W44" s="105">
        <f>W$38+IF(W$35=0,0,($C44*$D44*W$35)-W$36-MAX(0,($C44*$D44*W$35)-W$36-W$37)*Assumptions!$B$33)</f>
        <v>4.3029214306274541</v>
      </c>
      <c r="X44" s="105">
        <f>X$38+IF(X$35=0,0,($C44*$D44*X$35)-X$36-MAX(0,($C44*$D44*X$35)-X$36-X$37)*Assumptions!$B$33)</f>
        <v>4.3349066215536904</v>
      </c>
      <c r="Y44" s="105">
        <f>Y$38+IF(Y$35=0,0,($C44*$D44*Y$35)-Y$36-MAX(0,($C44*$D44*Y$35)-Y$36-Y$37)*Assumptions!$B$33)</f>
        <v>4.3667998314278256</v>
      </c>
      <c r="Z44" s="105">
        <f>Z$38+IF(Z$35=0,0,($C44*$D44*Z$35)-Z$36-MAX(0,($C44*$D44*Z$35)-Z$36-Z$37)*Assumptions!$B$33)</f>
        <v>4.3985825277665977</v>
      </c>
      <c r="AA44" s="105">
        <f>AA$38+IF(AA$35=0,0,($C44*$D44*AA$35)-AA$36-MAX(0,($C44*$D44*AA$35)-AA$36-AA$37)*Assumptions!$B$33)</f>
        <v>4.4302353855164727</v>
      </c>
      <c r="AB44" s="105">
        <f>AB$38+IF(AB$35=0,0,($C44*$D44*AB$35)-AB$36-MAX(0,($C44*$D44*AB$35)-AB$36-AB$37)*Assumptions!$B$33)</f>
        <v>4.4617382597275972</v>
      </c>
    </row>
    <row r="45" spans="1:28" outlineLevel="1" x14ac:dyDescent="0.3">
      <c r="A45" s="100">
        <f t="shared" si="7"/>
        <v>5</v>
      </c>
      <c r="B45" s="101" cm="1">
        <f t="array" ref="B45">INDEX($B$12:$B$18,ROUNDUP((ROW()-40)/7,0))</f>
        <v>0.16499999999999998</v>
      </c>
      <c r="C45" s="102">
        <f>Assumptions!$B$10*$B45</f>
        <v>72.27</v>
      </c>
      <c r="D45" s="103" cm="1">
        <f t="array" ref="D45">INDEX($C$11:$I$11,MOD(ROW()-41,7)+1)</f>
        <v>8.0000000000000016E-2</v>
      </c>
      <c r="E45" s="101">
        <f t="shared" si="8"/>
        <v>3.9721017462377661E-2</v>
      </c>
      <c r="F45" s="104">
        <f>H45+NPV(Assumptions!$B$34,I45:AB45)</f>
        <v>-23.035238346016655</v>
      </c>
      <c r="H45" s="105">
        <f>H$38+IF(H$35=0,0,($C45*$D45*H$35)-H$36-MAX(0,($C45*$D45*H$35)-H$36-H$37)*Assumptions!$B$33)</f>
        <v>-60</v>
      </c>
      <c r="I45" s="105">
        <f>I$38+IF(I$35=0,0,($C45*$D45*I$35)-I$36-MAX(0,($C45*$D45*I$35)-I$36-I$37)*Assumptions!$B$33)</f>
        <v>4.1071200000000001</v>
      </c>
      <c r="J45" s="105">
        <f>J$38+IF(J$35=0,0,($C45*$D45*J$35)-J$36-MAX(0,($C45*$D45*J$35)-J$36-J$37)*Assumptions!$B$33)</f>
        <v>4.1426268000000004</v>
      </c>
      <c r="K45" s="105">
        <f>K$38+IF(K$35=0,0,($C45*$D45*K$35)-K$36-MAX(0,($C45*$D45*K$35)-K$36-K$37)*Assumptions!$B$33)</f>
        <v>4.1782882019999992</v>
      </c>
      <c r="L45" s="105">
        <f>L$38+IF(L$35=0,0,($C45*$D45*L$35)-L$36-MAX(0,($C45*$D45*L$35)-L$36-L$37)*Assumptions!$B$33)</f>
        <v>4.2140951850299988</v>
      </c>
      <c r="M45" s="105">
        <f>M$38+IF(M$35=0,0,($C45*$D45*M$35)-M$36-MAX(0,($C45*$D45*M$35)-M$36-M$37)*Assumptions!$B$33)</f>
        <v>4.2500382526054485</v>
      </c>
      <c r="N45" s="105">
        <f>N$38+IF(N$35=0,0,($C45*$D45*N$35)-N$36-MAX(0,($C45*$D45*N$35)-N$36-N$37)*Assumptions!$B$33)</f>
        <v>4.2861074153885292</v>
      </c>
      <c r="O45" s="105">
        <f>O$38+IF(O$35=0,0,($C45*$D45*O$35)-O$36-MAX(0,($C45*$D45*O$35)-O$36-O$37)*Assumptions!$B$33)</f>
        <v>4.3222921732831763</v>
      </c>
      <c r="P45" s="105">
        <f>P$38+IF(P$35=0,0,($C45*$D45*P$35)-P$36-MAX(0,($C45*$D45*P$35)-P$36-P$37)*Assumptions!$B$33)</f>
        <v>4.358581496946158</v>
      </c>
      <c r="Q45" s="105">
        <f>Q$38+IF(Q$35=0,0,($C45*$D45*Q$35)-Q$36-MAX(0,($C45*$D45*Q$35)-Q$36-Q$37)*Assumptions!$B$33)</f>
        <v>4.394963808695997</v>
      </c>
      <c r="R45" s="105">
        <f>R$38+IF(R$35=0,0,($C45*$D45*R$35)-R$36-MAX(0,($C45*$D45*R$35)-R$36-R$37)*Assumptions!$B$33)</f>
        <v>4.4314269628009528</v>
      </c>
      <c r="S45" s="105">
        <f>S$38+IF(S$35=0,0,($C45*$D45*S$35)-S$36-MAX(0,($C45*$D45*S$35)-S$36-S$37)*Assumptions!$B$33)</f>
        <v>4.4679582251267176</v>
      </c>
      <c r="T45" s="105">
        <f>T$38+IF(T$35=0,0,($C45*$D45*T$35)-T$36-MAX(0,($C45*$D45*T$35)-T$36-T$37)*Assumptions!$B$33)</f>
        <v>4.5045442521238828</v>
      </c>
      <c r="U45" s="105">
        <f>U$38+IF(U$35=0,0,($C45*$D45*U$35)-U$36-MAX(0,($C45*$D45*U$35)-U$36-U$37)*Assumptions!$B$33)</f>
        <v>4.5411710691346112</v>
      </c>
      <c r="V45" s="105">
        <f>V$38+IF(V$35=0,0,($C45*$D45*V$35)-V$36-MAX(0,($C45*$D45*V$35)-V$36-V$37)*Assumptions!$B$33)</f>
        <v>4.5778240479973684</v>
      </c>
      <c r="W45" s="105">
        <f>W$38+IF(W$35=0,0,($C45*$D45*W$35)-W$36-MAX(0,($C45*$D45*W$35)-W$36-W$37)*Assumptions!$B$33)</f>
        <v>4.614487883927838</v>
      </c>
      <c r="X45" s="105">
        <f>X$38+IF(X$35=0,0,($C45*$D45*X$35)-X$36-MAX(0,($C45*$D45*X$35)-X$36-X$37)*Assumptions!$B$33)</f>
        <v>4.6511465716535803</v>
      </c>
      <c r="Y45" s="105">
        <f>Y$38+IF(Y$35=0,0,($C45*$D45*Y$35)-Y$36-MAX(0,($C45*$D45*Y$35)-Y$36-Y$37)*Assumptions!$B$33)</f>
        <v>4.687783380779214</v>
      </c>
      <c r="Z45" s="105">
        <f>Z$38+IF(Z$35=0,0,($C45*$D45*Z$35)-Z$36-MAX(0,($C45*$D45*Z$35)-Z$36-Z$37)*Assumptions!$B$33)</f>
        <v>4.7243808303582568</v>
      </c>
      <c r="AA45" s="105">
        <f>AA$38+IF(AA$35=0,0,($C45*$D45*AA$35)-AA$36-MAX(0,($C45*$D45*AA$35)-AA$36-AA$37)*Assumptions!$B$33)</f>
        <v>4.7609206626470062</v>
      </c>
      <c r="AB45" s="105">
        <f>AB$38+IF(AB$35=0,0,($C45*$D45*AB$35)-AB$36-MAX(0,($C45*$D45*AB$35)-AB$36-AB$37)*Assumptions!$B$33)</f>
        <v>4.7973838160150875</v>
      </c>
    </row>
    <row r="46" spans="1:28" outlineLevel="1" x14ac:dyDescent="0.3">
      <c r="A46" s="100">
        <f t="shared" si="7"/>
        <v>6</v>
      </c>
      <c r="B46" s="101" cm="1">
        <f t="array" ref="B46">INDEX($B$12:$B$18,ROUNDUP((ROW()-40)/7,0))</f>
        <v>0.16499999999999998</v>
      </c>
      <c r="C46" s="102">
        <f>Assumptions!$B$10*$B46</f>
        <v>72.27</v>
      </c>
      <c r="D46" s="103" cm="1">
        <f t="array" ref="D46">INDEX($C$11:$I$11,MOD(ROW()-41,7)+1)</f>
        <v>8.500000000000002E-2</v>
      </c>
      <c r="E46" s="101">
        <f t="shared" si="8"/>
        <v>4.6733886817620585E-2</v>
      </c>
      <c r="F46" s="104">
        <f>H46+NPV(Assumptions!$B$34,I46:AB46)</f>
        <v>-20.655178896781422</v>
      </c>
      <c r="H46" s="105">
        <f>H$38+IF(H$35=0,0,($C46*$D46*H$35)-H$36-MAX(0,($C46*$D46*H$35)-H$36-H$37)*Assumptions!$B$33)</f>
        <v>-60</v>
      </c>
      <c r="I46" s="105">
        <f>I$38+IF(I$35=0,0,($C46*$D46*I$35)-I$36-MAX(0,($C46*$D46*I$35)-I$36-I$37)*Assumptions!$B$33)</f>
        <v>4.3600650000000005</v>
      </c>
      <c r="J46" s="105">
        <f>J$38+IF(J$35=0,0,($C46*$D46*J$35)-J$36-MAX(0,($C46*$D46*J$35)-J$36-J$37)*Assumptions!$B$33)</f>
        <v>4.3993659750000003</v>
      </c>
      <c r="K46" s="105">
        <f>K$38+IF(K$35=0,0,($C46*$D46*K$35)-K$36-MAX(0,($C46*$D46*K$35)-K$36-K$37)*Assumptions!$B$33)</f>
        <v>4.4388784646249988</v>
      </c>
      <c r="L46" s="105">
        <f>L$38+IF(L$35=0,0,($C46*$D46*L$35)-L$36-MAX(0,($C46*$D46*L$35)-L$36-L$37)*Assumptions!$B$33)</f>
        <v>4.4785943015943737</v>
      </c>
      <c r="M46" s="105">
        <f>M$38+IF(M$35=0,0,($C46*$D46*M$35)-M$36-MAX(0,($C46*$D46*M$35)-M$36-M$37)*Assumptions!$B$33)</f>
        <v>4.5185048559182892</v>
      </c>
      <c r="N46" s="105">
        <f>N$38+IF(N$35=0,0,($C46*$D46*N$35)-N$36-MAX(0,($C46*$D46*N$35)-N$36-N$37)*Assumptions!$B$33)</f>
        <v>4.5586010177510623</v>
      </c>
      <c r="O46" s="105">
        <f>O$38+IF(O$35=0,0,($C46*$D46*O$35)-O$36-MAX(0,($C46*$D46*O$35)-O$36-O$37)*Assumptions!$B$33)</f>
        <v>4.5988731796811475</v>
      </c>
      <c r="P46" s="105">
        <f>P$38+IF(P$35=0,0,($C46*$D46*P$35)-P$36-MAX(0,($C46*$D46*P$35)-P$36-P$37)*Assumptions!$B$33)</f>
        <v>4.6393112184400982</v>
      </c>
      <c r="Q46" s="105">
        <f>Q$38+IF(Q$35=0,0,($C46*$D46*Q$35)-Q$36-MAX(0,($C46*$D46*Q$35)-Q$36-Q$37)*Assumptions!$B$33)</f>
        <v>4.6799044760123465</v>
      </c>
      <c r="R46" s="105">
        <f>R$38+IF(R$35=0,0,($C46*$D46*R$35)-R$36-MAX(0,($C46*$D46*R$35)-R$36-R$37)*Assumptions!$B$33)</f>
        <v>4.7206417401270473</v>
      </c>
      <c r="S46" s="105">
        <f>S$38+IF(S$35=0,0,($C46*$D46*S$35)-S$36-MAX(0,($C46*$D46*S$35)-S$36-S$37)*Assumptions!$B$33)</f>
        <v>4.761511224112704</v>
      </c>
      <c r="T46" s="105">
        <f>T$38+IF(T$35=0,0,($C46*$D46*T$35)-T$36-MAX(0,($C46*$D46*T$35)-T$36-T$37)*Assumptions!$B$33)</f>
        <v>4.8025005460946577</v>
      </c>
      <c r="U46" s="105">
        <f>U$38+IF(U$35=0,0,($C46*$D46*U$35)-U$36-MAX(0,($C46*$D46*U$35)-U$36-U$37)*Assumptions!$B$33)</f>
        <v>4.8435967075149486</v>
      </c>
      <c r="V46" s="105">
        <f>V$38+IF(V$35=0,0,($C46*$D46*V$35)-V$36-MAX(0,($C46*$D46*V$35)-V$36-V$37)*Assumptions!$B$33)</f>
        <v>4.8847860709534103</v>
      </c>
      <c r="W46" s="105">
        <f>W$38+IF(W$35=0,0,($C46*$D46*W$35)-W$36-MAX(0,($C46*$D46*W$35)-W$36-W$37)*Assumptions!$B$33)</f>
        <v>4.9260543372282211</v>
      </c>
      <c r="X46" s="105">
        <f>X$38+IF(X$35=0,0,($C46*$D46*X$35)-X$36-MAX(0,($C46*$D46*X$35)-X$36-X$37)*Assumptions!$B$33)</f>
        <v>4.9673865217534683</v>
      </c>
      <c r="Y46" s="105">
        <f>Y$38+IF(Y$35=0,0,($C46*$D46*Y$35)-Y$36-MAX(0,($C46*$D46*Y$35)-Y$36-Y$37)*Assumptions!$B$33)</f>
        <v>5.0087669301306006</v>
      </c>
      <c r="Z46" s="105">
        <f>Z$38+IF(Z$35=0,0,($C46*$D46*Z$35)-Z$36-MAX(0,($C46*$D46*Z$35)-Z$36-Z$37)*Assumptions!$B$33)</f>
        <v>5.0501791329499142</v>
      </c>
      <c r="AA46" s="105">
        <f>AA$38+IF(AA$35=0,0,($C46*$D46*AA$35)-AA$36-MAX(0,($C46*$D46*AA$35)-AA$36-AA$37)*Assumptions!$B$33)</f>
        <v>5.0916059397775388</v>
      </c>
      <c r="AB46" s="105">
        <f>AB$38+IF(AB$35=0,0,($C46*$D46*AB$35)-AB$36-MAX(0,($C46*$D46*AB$35)-AB$36-AB$37)*Assumptions!$B$33)</f>
        <v>5.1330293723025777</v>
      </c>
    </row>
    <row r="47" spans="1:28" outlineLevel="1" x14ac:dyDescent="0.3">
      <c r="A47" s="100">
        <f t="shared" si="7"/>
        <v>7</v>
      </c>
      <c r="B47" s="101" cm="1">
        <f t="array" ref="B47">INDEX($B$12:$B$18,ROUNDUP((ROW()-40)/7,0))</f>
        <v>0.16499999999999998</v>
      </c>
      <c r="C47" s="102">
        <f>Assumptions!$B$10*$B47</f>
        <v>72.27</v>
      </c>
      <c r="D47" s="103" cm="1">
        <f t="array" ref="D47">INDEX($C$11:$I$11,MOD(ROW()-41,7)+1)</f>
        <v>9.0000000000000024E-2</v>
      </c>
      <c r="E47" s="101">
        <f t="shared" si="8"/>
        <v>5.3510401233173299E-2</v>
      </c>
      <c r="F47" s="104">
        <f>H47+NPV(Assumptions!$B$34,I47:AB47)</f>
        <v>-18.275119447546203</v>
      </c>
      <c r="H47" s="105">
        <f>H$38+IF(H$35=0,0,($C47*$D47*H$35)-H$36-MAX(0,($C47*$D47*H$35)-H$36-H$37)*Assumptions!$B$33)</f>
        <v>-60</v>
      </c>
      <c r="I47" s="105">
        <f>I$38+IF(I$35=0,0,($C47*$D47*I$35)-I$36-MAX(0,($C47*$D47*I$35)-I$36-I$37)*Assumptions!$B$33)</f>
        <v>4.6130100000000009</v>
      </c>
      <c r="J47" s="105">
        <f>J$38+IF(J$35=0,0,($C47*$D47*J$35)-J$36-MAX(0,($C47*$D47*J$35)-J$36-J$37)*Assumptions!$B$33)</f>
        <v>4.6561051500000001</v>
      </c>
      <c r="K47" s="105">
        <f>K$38+IF(K$35=0,0,($C47*$D47*K$35)-K$36-MAX(0,($C47*$D47*K$35)-K$36-K$37)*Assumptions!$B$33)</f>
        <v>4.6994687272500002</v>
      </c>
      <c r="L47" s="105">
        <f>L$38+IF(L$35=0,0,($C47*$D47*L$35)-L$36-MAX(0,($C47*$D47*L$35)-L$36-L$37)*Assumptions!$B$33)</f>
        <v>4.7430934181587494</v>
      </c>
      <c r="M47" s="105">
        <f>M$38+IF(M$35=0,0,($C47*$D47*M$35)-M$36-MAX(0,($C47*$D47*M$35)-M$36-M$37)*Assumptions!$B$33)</f>
        <v>4.7869714592311299</v>
      </c>
      <c r="N47" s="105">
        <f>N$38+IF(N$35=0,0,($C47*$D47*N$35)-N$36-MAX(0,($C47*$D47*N$35)-N$36-N$37)*Assumptions!$B$33)</f>
        <v>4.8310946201135962</v>
      </c>
      <c r="O47" s="105">
        <f>O$38+IF(O$35=0,0,($C47*$D47*O$35)-O$36-MAX(0,($C47*$D47*O$35)-O$36-O$37)*Assumptions!$B$33)</f>
        <v>4.8754541860791187</v>
      </c>
      <c r="P47" s="105">
        <f>P$38+IF(P$35=0,0,($C47*$D47*P$35)-P$36-MAX(0,($C47*$D47*P$35)-P$36-P$37)*Assumptions!$B$33)</f>
        <v>4.9200409399340392</v>
      </c>
      <c r="Q47" s="105">
        <f>Q$38+IF(Q$35=0,0,($C47*$D47*Q$35)-Q$36-MAX(0,($C47*$D47*Q$35)-Q$36-Q$37)*Assumptions!$B$33)</f>
        <v>4.9648451433286969</v>
      </c>
      <c r="R47" s="105">
        <f>R$38+IF(R$35=0,0,($C47*$D47*R$35)-R$36-MAX(0,($C47*$D47*R$35)-R$36-R$37)*Assumptions!$B$33)</f>
        <v>5.0098565174531426</v>
      </c>
      <c r="S47" s="105">
        <f>S$38+IF(S$35=0,0,($C47*$D47*S$35)-S$36-MAX(0,($C47*$D47*S$35)-S$36-S$37)*Assumptions!$B$33)</f>
        <v>5.0550642230986904</v>
      </c>
      <c r="T47" s="105">
        <f>T$38+IF(T$35=0,0,($C47*$D47*T$35)-T$36-MAX(0,($C47*$D47*T$35)-T$36-T$37)*Assumptions!$B$33)</f>
        <v>5.1004568400654335</v>
      </c>
      <c r="U47" s="105">
        <f>U$38+IF(U$35=0,0,($C47*$D47*U$35)-U$36-MAX(0,($C47*$D47*U$35)-U$36-U$37)*Assumptions!$B$33)</f>
        <v>5.146022345895287</v>
      </c>
      <c r="V47" s="105">
        <f>V$38+IF(V$35=0,0,($C47*$D47*V$35)-V$36-MAX(0,($C47*$D47*V$35)-V$36-V$37)*Assumptions!$B$33)</f>
        <v>5.191748093909454</v>
      </c>
      <c r="W47" s="105">
        <f>W$38+IF(W$35=0,0,($C47*$D47*W$35)-W$36-MAX(0,($C47*$D47*W$35)-W$36-W$37)*Assumptions!$B$33)</f>
        <v>5.2376207905286041</v>
      </c>
      <c r="X47" s="105">
        <f>X$38+IF(X$35=0,0,($C47*$D47*X$35)-X$36-MAX(0,($C47*$D47*X$35)-X$36-X$37)*Assumptions!$B$33)</f>
        <v>5.283626471853359</v>
      </c>
      <c r="Y47" s="105">
        <f>Y$38+IF(Y$35=0,0,($C47*$D47*Y$35)-Y$36-MAX(0,($C47*$D47*Y$35)-Y$36-Y$37)*Assumptions!$B$33)</f>
        <v>5.3297504794819881</v>
      </c>
      <c r="Z47" s="105">
        <f>Z$38+IF(Z$35=0,0,($C47*$D47*Z$35)-Z$36-MAX(0,($C47*$D47*Z$35)-Z$36-Z$37)*Assumptions!$B$33)</f>
        <v>5.3759774355415733</v>
      </c>
      <c r="AA47" s="105">
        <f>AA$38+IF(AA$35=0,0,($C47*$D47*AA$35)-AA$36-MAX(0,($C47*$D47*AA$35)-AA$36-AA$37)*Assumptions!$B$33)</f>
        <v>5.4222912169080724</v>
      </c>
      <c r="AB47" s="105">
        <f>AB$38+IF(AB$35=0,0,($C47*$D47*AB$35)-AB$36-MAX(0,($C47*$D47*AB$35)-AB$36-AB$37)*Assumptions!$B$33)</f>
        <v>5.4686749285900698</v>
      </c>
    </row>
    <row r="48" spans="1:28" outlineLevel="1" x14ac:dyDescent="0.3">
      <c r="A48" s="100">
        <f t="shared" si="7"/>
        <v>8</v>
      </c>
      <c r="B48" s="101" cm="1">
        <f t="array" ref="B48">INDEX($B$12:$B$18,ROUNDUP((ROW()-40)/7,0))</f>
        <v>0.18</v>
      </c>
      <c r="C48" s="102">
        <f>Assumptions!$B$10*$B48</f>
        <v>78.84</v>
      </c>
      <c r="D48" s="103" cm="1">
        <f t="array" ref="D48">INDEX($C$11:$I$11,MOD(ROW()-41,7)+1)</f>
        <v>0.06</v>
      </c>
      <c r="E48" s="101">
        <f t="shared" si="8"/>
        <v>1.7632603959895299E-2</v>
      </c>
      <c r="F48" s="104">
        <f>H48+NPV(Assumptions!$B$34,I48:AB48)</f>
        <v>-29.959047652882742</v>
      </c>
      <c r="H48" s="105">
        <f>H$38+IF(H$35=0,0,($C48*$D48*H$35)-H$36-MAX(0,($C48*$D48*H$35)-H$36-H$37)*Assumptions!$B$33)</f>
        <v>-60</v>
      </c>
      <c r="I48" s="105">
        <f>I$38+IF(I$35=0,0,($C48*$D48*I$35)-I$36-MAX(0,($C48*$D48*I$35)-I$36-I$37)*Assumptions!$B$33)</f>
        <v>3.3712800000000001</v>
      </c>
      <c r="J48" s="105">
        <f>J$38+IF(J$35=0,0,($C48*$D48*J$35)-J$36-MAX(0,($C48*$D48*J$35)-J$36-J$37)*Assumptions!$B$33)</f>
        <v>3.3957492000000005</v>
      </c>
      <c r="K48" s="105">
        <f>K$38+IF(K$35=0,0,($C48*$D48*K$35)-K$36-MAX(0,($C48*$D48*K$35)-K$36-K$37)*Assumptions!$B$33)</f>
        <v>3.4202074379999994</v>
      </c>
      <c r="L48" s="105">
        <f>L$38+IF(L$35=0,0,($C48*$D48*L$35)-L$36-MAX(0,($C48*$D48*L$35)-L$36-L$37)*Assumptions!$B$33)</f>
        <v>3.4446432095699988</v>
      </c>
      <c r="M48" s="105">
        <f>M$38+IF(M$35=0,0,($C48*$D48*M$35)-M$36-MAX(0,($C48*$D48*M$35)-M$36-M$37)*Assumptions!$B$33)</f>
        <v>3.4690444975135484</v>
      </c>
      <c r="N48" s="105">
        <f>N$38+IF(N$35=0,0,($C48*$D48*N$35)-N$36-MAX(0,($C48*$D48*N$35)-N$36-N$37)*Assumptions!$B$33)</f>
        <v>3.4933987539702511</v>
      </c>
      <c r="O48" s="105">
        <f>O$38+IF(O$35=0,0,($C48*$D48*O$35)-O$36-MAX(0,($C48*$D48*O$35)-O$36-O$37)*Assumptions!$B$33)</f>
        <v>3.5176928819436242</v>
      </c>
      <c r="P48" s="105">
        <f>P$38+IF(P$35=0,0,($C48*$D48*P$35)-P$36-MAX(0,($C48*$D48*P$35)-P$36-P$37)*Assumptions!$B$33)</f>
        <v>3.5419132162365123</v>
      </c>
      <c r="Q48" s="105">
        <f>Q$38+IF(Q$35=0,0,($C48*$D48*Q$35)-Q$36-MAX(0,($C48*$D48*Q$35)-Q$36-Q$37)*Assumptions!$B$33)</f>
        <v>3.5660455037757068</v>
      </c>
      <c r="R48" s="105">
        <f>R$38+IF(R$35=0,0,($C48*$D48*R$35)-R$36-MAX(0,($C48*$D48*R$35)-R$36-R$37)*Assumptions!$B$33)</f>
        <v>3.5900748833068579</v>
      </c>
      <c r="S48" s="105">
        <f>S$38+IF(S$35=0,0,($C48*$D48*S$35)-S$36-MAX(0,($C48*$D48*S$35)-S$36-S$37)*Assumptions!$B$33)</f>
        <v>3.6139858644402119</v>
      </c>
      <c r="T48" s="105">
        <f>T$38+IF(T$35=0,0,($C48*$D48*T$35)-T$36-MAX(0,($C48*$D48*T$35)-T$36-T$37)*Assumptions!$B$33)</f>
        <v>3.6377623060270787</v>
      </c>
      <c r="U48" s="105">
        <f>U$38+IF(U$35=0,0,($C48*$D48*U$35)-U$36-MAX(0,($C48*$D48*U$35)-U$36-U$37)*Assumptions!$B$33)</f>
        <v>3.6613873938463559</v>
      </c>
      <c r="V48" s="105">
        <f>V$38+IF(V$35=0,0,($C48*$D48*V$35)-V$36-MAX(0,($C48*$D48*V$35)-V$36-V$37)*Assumptions!$B$33)</f>
        <v>3.6848436175797894</v>
      </c>
      <c r="W48" s="105">
        <f>W$38+IF(W$35=0,0,($C48*$D48*W$35)-W$36-MAX(0,($C48*$D48*W$35)-W$36-W$37)*Assumptions!$B$33)</f>
        <v>3.7081127470539963</v>
      </c>
      <c r="X48" s="105">
        <f>X$38+IF(X$35=0,0,($C48*$D48*X$35)-X$36-MAX(0,($C48*$D48*X$35)-X$36-X$37)*Assumptions!$B$33)</f>
        <v>3.7311758077266304</v>
      </c>
      <c r="Y48" s="105">
        <f>Y$38+IF(Y$35=0,0,($C48*$D48*Y$35)-Y$36-MAX(0,($C48*$D48*Y$35)-Y$36-Y$37)*Assumptions!$B$33)</f>
        <v>3.7540130553933597</v>
      </c>
      <c r="Z48" s="105">
        <f>Z$38+IF(Z$35=0,0,($C48*$D48*Z$35)-Z$36-MAX(0,($C48*$D48*Z$35)-Z$36-Z$37)*Assumptions!$B$33)</f>
        <v>3.7766039500916144</v>
      </c>
      <c r="AA48" s="105">
        <f>AA$38+IF(AA$35=0,0,($C48*$D48*AA$35)-AA$36-MAX(0,($C48*$D48*AA$35)-AA$36-AA$37)*Assumptions!$B$33)</f>
        <v>3.7989271291763651</v>
      </c>
      <c r="AB48" s="105">
        <f>AB$38+IF(AB$35=0,0,($C48*$D48*AB$35)-AB$36-MAX(0,($C48*$D48*AB$35)-AB$36-AB$37)*Assumptions!$B$33)</f>
        <v>3.8209603795423868</v>
      </c>
    </row>
    <row r="49" spans="1:28" outlineLevel="1" x14ac:dyDescent="0.3">
      <c r="A49" s="100">
        <f t="shared" si="7"/>
        <v>9</v>
      </c>
      <c r="B49" s="101" cm="1">
        <f t="array" ref="B49">INDEX($B$12:$B$18,ROUNDUP((ROW()-40)/7,0))</f>
        <v>0.18</v>
      </c>
      <c r="C49" s="102">
        <f>Assumptions!$B$10*$B49</f>
        <v>78.84</v>
      </c>
      <c r="D49" s="103" cm="1">
        <f t="array" ref="D49">INDEX($C$11:$I$11,MOD(ROW()-41,7)+1)</f>
        <v>6.5000000000000002E-2</v>
      </c>
      <c r="E49" s="101">
        <f t="shared" si="8"/>
        <v>2.6251617517972559E-2</v>
      </c>
      <c r="F49" s="104">
        <f>H49+NPV(Assumptions!$B$34,I49:AB49)</f>
        <v>-27.362619162807952</v>
      </c>
      <c r="H49" s="105">
        <f>H$38+IF(H$35=0,0,($C49*$D49*H$35)-H$36-MAX(0,($C49*$D49*H$35)-H$36-H$37)*Assumptions!$B$33)</f>
        <v>-60</v>
      </c>
      <c r="I49" s="105">
        <f>I$38+IF(I$35=0,0,($C49*$D49*I$35)-I$36-MAX(0,($C49*$D49*I$35)-I$36-I$37)*Assumptions!$B$33)</f>
        <v>3.6472199999999999</v>
      </c>
      <c r="J49" s="105">
        <f>J$38+IF(J$35=0,0,($C49*$D49*J$35)-J$36-MAX(0,($C49*$D49*J$35)-J$36-J$37)*Assumptions!$B$33)</f>
        <v>3.6758282999999996</v>
      </c>
      <c r="K49" s="105">
        <f>K$38+IF(K$35=0,0,($C49*$D49*K$35)-K$36-MAX(0,($C49*$D49*K$35)-K$36-K$37)*Assumptions!$B$33)</f>
        <v>3.704487724499999</v>
      </c>
      <c r="L49" s="105">
        <f>L$38+IF(L$35=0,0,($C49*$D49*L$35)-L$36-MAX(0,($C49*$D49*L$35)-L$36-L$37)*Assumptions!$B$33)</f>
        <v>3.7331877003674987</v>
      </c>
      <c r="M49" s="105">
        <f>M$38+IF(M$35=0,0,($C49*$D49*M$35)-M$36-MAX(0,($C49*$D49*M$35)-M$36-M$37)*Assumptions!$B$33)</f>
        <v>3.7619171556730104</v>
      </c>
      <c r="N49" s="105">
        <f>N$38+IF(N$35=0,0,($C49*$D49*N$35)-N$36-MAX(0,($C49*$D49*N$35)-N$36-N$37)*Assumptions!$B$33)</f>
        <v>3.7906645020021053</v>
      </c>
      <c r="O49" s="105">
        <f>O$38+IF(O$35=0,0,($C49*$D49*O$35)-O$36-MAX(0,($C49*$D49*O$35)-O$36-O$37)*Assumptions!$B$33)</f>
        <v>3.8194176161959561</v>
      </c>
      <c r="P49" s="105">
        <f>P$38+IF(P$35=0,0,($C49*$D49*P$35)-P$36-MAX(0,($C49*$D49*P$35)-P$36-P$37)*Assumptions!$B$33)</f>
        <v>3.848163821502629</v>
      </c>
      <c r="Q49" s="105">
        <f>Q$38+IF(Q$35=0,0,($C49*$D49*Q$35)-Q$36-MAX(0,($C49*$D49*Q$35)-Q$36-Q$37)*Assumptions!$B$33)</f>
        <v>3.8768898681208155</v>
      </c>
      <c r="R49" s="105">
        <f>R$38+IF(R$35=0,0,($C49*$D49*R$35)-R$36-MAX(0,($C49*$D49*R$35)-R$36-R$37)*Assumptions!$B$33)</f>
        <v>3.905581913117143</v>
      </c>
      <c r="S49" s="105">
        <f>S$38+IF(S$35=0,0,($C49*$D49*S$35)-S$36-MAX(0,($C49*$D49*S$35)-S$36-S$37)*Assumptions!$B$33)</f>
        <v>3.9342254996976509</v>
      </c>
      <c r="T49" s="105">
        <f>T$38+IF(T$35=0,0,($C49*$D49*T$35)-T$36-MAX(0,($C49*$D49*T$35)-T$36-T$37)*Assumptions!$B$33)</f>
        <v>3.9628055358133789</v>
      </c>
      <c r="U49" s="105">
        <f>U$38+IF(U$35=0,0,($C49*$D49*U$35)-U$36-MAX(0,($C49*$D49*U$35)-U$36-U$37)*Assumptions!$B$33)</f>
        <v>3.9913062720794517</v>
      </c>
      <c r="V49" s="105">
        <f>V$38+IF(V$35=0,0,($C49*$D49*V$35)-V$36-MAX(0,($C49*$D49*V$35)-V$36-V$37)*Assumptions!$B$33)</f>
        <v>4.0197112789863816</v>
      </c>
      <c r="W49" s="105">
        <f>W$38+IF(W$35=0,0,($C49*$D49*W$35)-W$36-MAX(0,($C49*$D49*W$35)-W$36-W$37)*Assumptions!$B$33)</f>
        <v>4.0480034233816857</v>
      </c>
      <c r="X49" s="105">
        <f>X$38+IF(X$35=0,0,($C49*$D49*X$35)-X$36-MAX(0,($C49*$D49*X$35)-X$36-X$37)*Assumptions!$B$33)</f>
        <v>4.0761648441992362</v>
      </c>
      <c r="Y49" s="105">
        <f>Y$38+IF(Y$35=0,0,($C49*$D49*Y$35)-Y$36-MAX(0,($C49*$D49*Y$35)-Y$36-Y$37)*Assumptions!$B$33)</f>
        <v>4.1041769274130546</v>
      </c>
      <c r="Z49" s="105">
        <f>Z$38+IF(Z$35=0,0,($C49*$D49*Z$35)-Z$36-MAX(0,($C49*$D49*Z$35)-Z$36-Z$37)*Assumptions!$B$33)</f>
        <v>4.1320202801916048</v>
      </c>
      <c r="AA49" s="105">
        <f>AA$38+IF(AA$35=0,0,($C49*$D49*AA$35)-AA$36-MAX(0,($C49*$D49*AA$35)-AA$36-AA$37)*Assumptions!$B$33)</f>
        <v>4.1596747042278546</v>
      </c>
      <c r="AB49" s="105">
        <f>AB$38+IF(AB$35=0,0,($C49*$D49*AB$35)-AB$36-MAX(0,($C49*$D49*AB$35)-AB$36-AB$37)*Assumptions!$B$33)</f>
        <v>4.1871191682196489</v>
      </c>
    </row>
    <row r="50" spans="1:28" outlineLevel="1" x14ac:dyDescent="0.3">
      <c r="A50" s="100">
        <f t="shared" si="7"/>
        <v>10</v>
      </c>
      <c r="B50" s="101" cm="1">
        <f t="array" ref="B50">INDEX($B$12:$B$18,ROUNDUP((ROW()-40)/7,0))</f>
        <v>0.18</v>
      </c>
      <c r="C50" s="102">
        <f>Assumptions!$B$10*$B50</f>
        <v>78.84</v>
      </c>
      <c r="D50" s="103" cm="1">
        <f t="array" ref="D50">INDEX($C$11:$I$11,MOD(ROW()-41,7)+1)</f>
        <v>7.0000000000000007E-2</v>
      </c>
      <c r="E50" s="101">
        <f t="shared" si="8"/>
        <v>3.4453575711416828E-2</v>
      </c>
      <c r="F50" s="104">
        <f>H50+NPV(Assumptions!$B$34,I50:AB50)</f>
        <v>-24.766190672733174</v>
      </c>
      <c r="H50" s="105">
        <f>H$38+IF(H$35=0,0,($C50*$D50*H$35)-H$36-MAX(0,($C50*$D50*H$35)-H$36-H$37)*Assumptions!$B$33)</f>
        <v>-60</v>
      </c>
      <c r="I50" s="105">
        <f>I$38+IF(I$35=0,0,($C50*$D50*I$35)-I$36-MAX(0,($C50*$D50*I$35)-I$36-I$37)*Assumptions!$B$33)</f>
        <v>3.9231600000000002</v>
      </c>
      <c r="J50" s="105">
        <f>J$38+IF(J$35=0,0,($C50*$D50*J$35)-J$36-MAX(0,($C50*$D50*J$35)-J$36-J$37)*Assumptions!$B$33)</f>
        <v>3.9559074000000005</v>
      </c>
      <c r="K50" s="105">
        <f>K$38+IF(K$35=0,0,($C50*$D50*K$35)-K$36-MAX(0,($C50*$D50*K$35)-K$36-K$37)*Assumptions!$B$33)</f>
        <v>3.988768010999999</v>
      </c>
      <c r="L50" s="105">
        <f>L$38+IF(L$35=0,0,($C50*$D50*L$35)-L$36-MAX(0,($C50*$D50*L$35)-L$36-L$37)*Assumptions!$B$33)</f>
        <v>4.0217321911649986</v>
      </c>
      <c r="M50" s="105">
        <f>M$38+IF(M$35=0,0,($C50*$D50*M$35)-M$36-MAX(0,($C50*$D50*M$35)-M$36-M$37)*Assumptions!$B$33)</f>
        <v>4.0547898138324729</v>
      </c>
      <c r="N50" s="105">
        <f>N$38+IF(N$35=0,0,($C50*$D50*N$35)-N$36-MAX(0,($C50*$D50*N$35)-N$36-N$37)*Assumptions!$B$33)</f>
        <v>4.0879302500339598</v>
      </c>
      <c r="O50" s="105">
        <f>O$38+IF(O$35=0,0,($C50*$D50*O$35)-O$36-MAX(0,($C50*$D50*O$35)-O$36-O$37)*Assumptions!$B$33)</f>
        <v>4.121142350448288</v>
      </c>
      <c r="P50" s="105">
        <f>P$38+IF(P$35=0,0,($C50*$D50*P$35)-P$36-MAX(0,($C50*$D50*P$35)-P$36-P$37)*Assumptions!$B$33)</f>
        <v>4.1544144267687466</v>
      </c>
      <c r="Q50" s="105">
        <f>Q$38+IF(Q$35=0,0,($C50*$D50*Q$35)-Q$36-MAX(0,($C50*$D50*Q$35)-Q$36-Q$37)*Assumptions!$B$33)</f>
        <v>4.1877342324659246</v>
      </c>
      <c r="R50" s="105">
        <f>R$38+IF(R$35=0,0,($C50*$D50*R$35)-R$36-MAX(0,($C50*$D50*R$35)-R$36-R$37)*Assumptions!$B$33)</f>
        <v>4.2210889429274285</v>
      </c>
      <c r="S50" s="105">
        <f>S$38+IF(S$35=0,0,($C50*$D50*S$35)-S$36-MAX(0,($C50*$D50*S$35)-S$36-S$37)*Assumptions!$B$33)</f>
        <v>4.2544651349550913</v>
      </c>
      <c r="T50" s="105">
        <f>T$38+IF(T$35=0,0,($C50*$D50*T$35)-T$36-MAX(0,($C50*$D50*T$35)-T$36-T$37)*Assumptions!$B$33)</f>
        <v>4.2878487655996809</v>
      </c>
      <c r="U50" s="105">
        <f>U$38+IF(U$35=0,0,($C50*$D50*U$35)-U$36-MAX(0,($C50*$D50*U$35)-U$36-U$37)*Assumptions!$B$33)</f>
        <v>4.3212251503125474</v>
      </c>
      <c r="V50" s="105">
        <f>V$38+IF(V$35=0,0,($C50*$D50*V$35)-V$36-MAX(0,($C50*$D50*V$35)-V$36-V$37)*Assumptions!$B$33)</f>
        <v>4.3545789403929733</v>
      </c>
      <c r="W50" s="105">
        <f>W$38+IF(W$35=0,0,($C50*$D50*W$35)-W$36-MAX(0,($C50*$D50*W$35)-W$36-W$37)*Assumptions!$B$33)</f>
        <v>4.3878940997093769</v>
      </c>
      <c r="X50" s="105">
        <f>X$38+IF(X$35=0,0,($C50*$D50*X$35)-X$36-MAX(0,($C50*$D50*X$35)-X$36-X$37)*Assumptions!$B$33)</f>
        <v>4.4211538806718425</v>
      </c>
      <c r="Y50" s="105">
        <f>Y$38+IF(Y$35=0,0,($C50*$D50*Y$35)-Y$36-MAX(0,($C50*$D50*Y$35)-Y$36-Y$37)*Assumptions!$B$33)</f>
        <v>4.4543407994327495</v>
      </c>
      <c r="Z50" s="105">
        <f>Z$38+IF(Z$35=0,0,($C50*$D50*Z$35)-Z$36-MAX(0,($C50*$D50*Z$35)-Z$36-Z$37)*Assumptions!$B$33)</f>
        <v>4.4874366102915957</v>
      </c>
      <c r="AA50" s="105">
        <f>AA$38+IF(AA$35=0,0,($C50*$D50*AA$35)-AA$36-MAX(0,($C50*$D50*AA$35)-AA$36-AA$37)*Assumptions!$B$33)</f>
        <v>4.5204222792793463</v>
      </c>
      <c r="AB50" s="105">
        <f>AB$38+IF(AB$35=0,0,($C50*$D50*AB$35)-AB$36-MAX(0,($C50*$D50*AB$35)-AB$36-AB$37)*Assumptions!$B$33)</f>
        <v>4.5532779568969133</v>
      </c>
    </row>
    <row r="51" spans="1:28" outlineLevel="1" x14ac:dyDescent="0.3">
      <c r="A51" s="100">
        <f t="shared" si="7"/>
        <v>11</v>
      </c>
      <c r="B51" s="101" cm="1">
        <f t="array" ref="B51">INDEX($B$12:$B$18,ROUNDUP((ROW()-40)/7,0))</f>
        <v>0.18</v>
      </c>
      <c r="C51" s="102">
        <f>Assumptions!$B$10*$B51</f>
        <v>78.84</v>
      </c>
      <c r="D51" s="103" cm="1">
        <f t="array" ref="D51">INDEX($C$11:$I$11,MOD(ROW()-41,7)+1)</f>
        <v>7.5000000000000011E-2</v>
      </c>
      <c r="E51" s="101">
        <f t="shared" si="8"/>
        <v>4.2300459488682662E-2</v>
      </c>
      <c r="F51" s="104">
        <f>H51+NPV(Assumptions!$B$34,I51:AB51)</f>
        <v>-22.169762182658388</v>
      </c>
      <c r="H51" s="105">
        <f>H$38+IF(H$35=0,0,($C51*$D51*H$35)-H$36-MAX(0,($C51*$D51*H$35)-H$36-H$37)*Assumptions!$B$33)</f>
        <v>-60</v>
      </c>
      <c r="I51" s="105">
        <f>I$38+IF(I$35=0,0,($C51*$D51*I$35)-I$36-MAX(0,($C51*$D51*I$35)-I$36-I$37)*Assumptions!$B$33)</f>
        <v>4.1991000000000005</v>
      </c>
      <c r="J51" s="105">
        <f>J$38+IF(J$35=0,0,($C51*$D51*J$35)-J$36-MAX(0,($C51*$D51*J$35)-J$36-J$37)*Assumptions!$B$33)</f>
        <v>4.235986500000001</v>
      </c>
      <c r="K51" s="105">
        <f>K$38+IF(K$35=0,0,($C51*$D51*K$35)-K$36-MAX(0,($C51*$D51*K$35)-K$36-K$37)*Assumptions!$B$33)</f>
        <v>4.273048297499999</v>
      </c>
      <c r="L51" s="105">
        <f>L$38+IF(L$35=0,0,($C51*$D51*L$35)-L$36-MAX(0,($C51*$D51*L$35)-L$36-L$37)*Assumptions!$B$33)</f>
        <v>4.3102766819624989</v>
      </c>
      <c r="M51" s="105">
        <f>M$38+IF(M$35=0,0,($C51*$D51*M$35)-M$36-MAX(0,($C51*$D51*M$35)-M$36-M$37)*Assumptions!$B$33)</f>
        <v>4.3476624719919359</v>
      </c>
      <c r="N51" s="105">
        <f>N$38+IF(N$35=0,0,($C51*$D51*N$35)-N$36-MAX(0,($C51*$D51*N$35)-N$36-N$37)*Assumptions!$B$33)</f>
        <v>4.3851959980658144</v>
      </c>
      <c r="O51" s="105">
        <f>O$38+IF(O$35=0,0,($C51*$D51*O$35)-O$36-MAX(0,($C51*$D51*O$35)-O$36-O$37)*Assumptions!$B$33)</f>
        <v>4.4228670847006208</v>
      </c>
      <c r="P51" s="105">
        <f>P$38+IF(P$35=0,0,($C51*$D51*P$35)-P$36-MAX(0,($C51*$D51*P$35)-P$36-P$37)*Assumptions!$B$33)</f>
        <v>4.4606650320348642</v>
      </c>
      <c r="Q51" s="105">
        <f>Q$38+IF(Q$35=0,0,($C51*$D51*Q$35)-Q$36-MAX(0,($C51*$D51*Q$35)-Q$36-Q$37)*Assumptions!$B$33)</f>
        <v>4.4985785968110337</v>
      </c>
      <c r="R51" s="105">
        <f>R$38+IF(R$35=0,0,($C51*$D51*R$35)-R$36-MAX(0,($C51*$D51*R$35)-R$36-R$37)*Assumptions!$B$33)</f>
        <v>4.5365959727377145</v>
      </c>
      <c r="S51" s="105">
        <f>S$38+IF(S$35=0,0,($C51*$D51*S$35)-S$36-MAX(0,($C51*$D51*S$35)-S$36-S$37)*Assumptions!$B$33)</f>
        <v>4.5747047702125307</v>
      </c>
      <c r="T51" s="105">
        <f>T$38+IF(T$35=0,0,($C51*$D51*T$35)-T$36-MAX(0,($C51*$D51*T$35)-T$36-T$37)*Assumptions!$B$33)</f>
        <v>4.6128919953859819</v>
      </c>
      <c r="U51" s="105">
        <f>U$38+IF(U$35=0,0,($C51*$D51*U$35)-U$36-MAX(0,($C51*$D51*U$35)-U$36-U$37)*Assumptions!$B$33)</f>
        <v>4.6511440285456436</v>
      </c>
      <c r="V51" s="105">
        <f>V$38+IF(V$35=0,0,($C51*$D51*V$35)-V$36-MAX(0,($C51*$D51*V$35)-V$36-V$37)*Assumptions!$B$33)</f>
        <v>4.689446601799566</v>
      </c>
      <c r="W51" s="105">
        <f>W$38+IF(W$35=0,0,($C51*$D51*W$35)-W$36-MAX(0,($C51*$D51*W$35)-W$36-W$37)*Assumptions!$B$33)</f>
        <v>4.7277847760370681</v>
      </c>
      <c r="X51" s="105">
        <f>X$38+IF(X$35=0,0,($C51*$D51*X$35)-X$36-MAX(0,($C51*$D51*X$35)-X$36-X$37)*Assumptions!$B$33)</f>
        <v>4.7661429171444496</v>
      </c>
      <c r="Y51" s="105">
        <f>Y$38+IF(Y$35=0,0,($C51*$D51*Y$35)-Y$36-MAX(0,($C51*$D51*Y$35)-Y$36-Y$37)*Assumptions!$B$33)</f>
        <v>4.8045046714524453</v>
      </c>
      <c r="Z51" s="105">
        <f>Z$38+IF(Z$35=0,0,($C51*$D51*Z$35)-Z$36-MAX(0,($C51*$D51*Z$35)-Z$36-Z$37)*Assumptions!$B$33)</f>
        <v>4.8428529403915865</v>
      </c>
      <c r="AA51" s="105">
        <f>AA$38+IF(AA$35=0,0,($C51*$D51*AA$35)-AA$36-MAX(0,($C51*$D51*AA$35)-AA$36-AA$37)*Assumptions!$B$33)</f>
        <v>4.8811698543308362</v>
      </c>
      <c r="AB51" s="105">
        <f>AB$38+IF(AB$35=0,0,($C51*$D51*AB$35)-AB$36-MAX(0,($C51*$D51*AB$35)-AB$36-AB$37)*Assumptions!$B$33)</f>
        <v>4.919436745574175</v>
      </c>
    </row>
    <row r="52" spans="1:28" outlineLevel="1" x14ac:dyDescent="0.3">
      <c r="A52" s="100">
        <f t="shared" si="7"/>
        <v>12</v>
      </c>
      <c r="B52" s="101" cm="1">
        <f t="array" ref="B52">INDEX($B$12:$B$18,ROUNDUP((ROW()-40)/7,0))</f>
        <v>0.18</v>
      </c>
      <c r="C52" s="102">
        <f>Assumptions!$B$10*$B52</f>
        <v>78.84</v>
      </c>
      <c r="D52" s="103" cm="1">
        <f t="array" ref="D52">INDEX($C$11:$I$11,MOD(ROW()-41,7)+1)</f>
        <v>8.0000000000000016E-2</v>
      </c>
      <c r="E52" s="101">
        <f t="shared" si="8"/>
        <v>4.9841645310515048E-2</v>
      </c>
      <c r="F52" s="104">
        <f>H52+NPV(Assumptions!$B$34,I52:AB52)</f>
        <v>-19.573333692583596</v>
      </c>
      <c r="H52" s="105">
        <f>H$38+IF(H$35=0,0,($C52*$D52*H$35)-H$36-MAX(0,($C52*$D52*H$35)-H$36-H$37)*Assumptions!$B$33)</f>
        <v>-60</v>
      </c>
      <c r="I52" s="105">
        <f>I$38+IF(I$35=0,0,($C52*$D52*I$35)-I$36-MAX(0,($C52*$D52*I$35)-I$36-I$37)*Assumptions!$B$33)</f>
        <v>4.4750400000000008</v>
      </c>
      <c r="J52" s="105">
        <f>J$38+IF(J$35=0,0,($C52*$D52*J$35)-J$36-MAX(0,($C52*$D52*J$35)-J$36-J$37)*Assumptions!$B$33)</f>
        <v>4.516065600000001</v>
      </c>
      <c r="K52" s="105">
        <f>K$38+IF(K$35=0,0,($C52*$D52*K$35)-K$36-MAX(0,($C52*$D52*K$35)-K$36-K$37)*Assumptions!$B$33)</f>
        <v>4.5573285840000004</v>
      </c>
      <c r="L52" s="105">
        <f>L$38+IF(L$35=0,0,($C52*$D52*L$35)-L$36-MAX(0,($C52*$D52*L$35)-L$36-L$37)*Assumptions!$B$33)</f>
        <v>4.5988211727599992</v>
      </c>
      <c r="M52" s="105">
        <f>M$38+IF(M$35=0,0,($C52*$D52*M$35)-M$36-MAX(0,($C52*$D52*M$35)-M$36-M$37)*Assumptions!$B$33)</f>
        <v>4.6405351301513988</v>
      </c>
      <c r="N52" s="105">
        <f>N$38+IF(N$35=0,0,($C52*$D52*N$35)-N$36-MAX(0,($C52*$D52*N$35)-N$36-N$37)*Assumptions!$B$33)</f>
        <v>4.682461746097669</v>
      </c>
      <c r="O52" s="105">
        <f>O$38+IF(O$35=0,0,($C52*$D52*O$35)-O$36-MAX(0,($C52*$D52*O$35)-O$36-O$37)*Assumptions!$B$33)</f>
        <v>4.7245918189529537</v>
      </c>
      <c r="P52" s="105">
        <f>P$38+IF(P$35=0,0,($C52*$D52*P$35)-P$36-MAX(0,($C52*$D52*P$35)-P$36-P$37)*Assumptions!$B$33)</f>
        <v>4.7669156373009809</v>
      </c>
      <c r="Q52" s="105">
        <f>Q$38+IF(Q$35=0,0,($C52*$D52*Q$35)-Q$36-MAX(0,($C52*$D52*Q$35)-Q$36-Q$37)*Assumptions!$B$33)</f>
        <v>4.8094229611561428</v>
      </c>
      <c r="R52" s="105">
        <f>R$38+IF(R$35=0,0,($C52*$D52*R$35)-R$36-MAX(0,($C52*$D52*R$35)-R$36-R$37)*Assumptions!$B$33)</f>
        <v>4.8521030025479996</v>
      </c>
      <c r="S52" s="105">
        <f>S$38+IF(S$35=0,0,($C52*$D52*S$35)-S$36-MAX(0,($C52*$D52*S$35)-S$36-S$37)*Assumptions!$B$33)</f>
        <v>4.8949444054699702</v>
      </c>
      <c r="T52" s="105">
        <f>T$38+IF(T$35=0,0,($C52*$D52*T$35)-T$36-MAX(0,($C52*$D52*T$35)-T$36-T$37)*Assumptions!$B$33)</f>
        <v>4.9379352251722839</v>
      </c>
      <c r="U52" s="105">
        <f>U$38+IF(U$35=0,0,($C52*$D52*U$35)-U$36-MAX(0,($C52*$D52*U$35)-U$36-U$37)*Assumptions!$B$33)</f>
        <v>4.9810629067787389</v>
      </c>
      <c r="V52" s="105">
        <f>V$38+IF(V$35=0,0,($C52*$D52*V$35)-V$36-MAX(0,($C52*$D52*V$35)-V$36-V$37)*Assumptions!$B$33)</f>
        <v>5.0243142632061586</v>
      </c>
      <c r="W52" s="105">
        <f>W$38+IF(W$35=0,0,($C52*$D52*W$35)-W$36-MAX(0,($C52*$D52*W$35)-W$36-W$37)*Assumptions!$B$33)</f>
        <v>5.0676754523647594</v>
      </c>
      <c r="X52" s="105">
        <f>X$38+IF(X$35=0,0,($C52*$D52*X$35)-X$36-MAX(0,($C52*$D52*X$35)-X$36-X$37)*Assumptions!$B$33)</f>
        <v>5.1111319536170559</v>
      </c>
      <c r="Y52" s="105">
        <f>Y$38+IF(Y$35=0,0,($C52*$D52*Y$35)-Y$36-MAX(0,($C52*$D52*Y$35)-Y$36-Y$37)*Assumptions!$B$33)</f>
        <v>5.1546685434721411</v>
      </c>
      <c r="Z52" s="105">
        <f>Z$38+IF(Z$35=0,0,($C52*$D52*Z$35)-Z$36-MAX(0,($C52*$D52*Z$35)-Z$36-Z$37)*Assumptions!$B$33)</f>
        <v>5.1982692704915783</v>
      </c>
      <c r="AA52" s="105">
        <f>AA$38+IF(AA$35=0,0,($C52*$D52*AA$35)-AA$36-MAX(0,($C52*$D52*AA$35)-AA$36-AA$37)*Assumptions!$B$33)</f>
        <v>5.2419174293823279</v>
      </c>
      <c r="AB52" s="105">
        <f>AB$38+IF(AB$35=0,0,($C52*$D52*AB$35)-AB$36-MAX(0,($C52*$D52*AB$35)-AB$36-AB$37)*Assumptions!$B$33)</f>
        <v>5.2855955342514376</v>
      </c>
    </row>
    <row r="53" spans="1:28" outlineLevel="1" x14ac:dyDescent="0.3">
      <c r="A53" s="100">
        <f t="shared" si="7"/>
        <v>13</v>
      </c>
      <c r="B53" s="101" cm="1">
        <f t="array" ref="B53">INDEX($B$12:$B$18,ROUNDUP((ROW()-40)/7,0))</f>
        <v>0.18</v>
      </c>
      <c r="C53" s="102">
        <f>Assumptions!$B$10*$B53</f>
        <v>78.84</v>
      </c>
      <c r="D53" s="103" cm="1">
        <f t="array" ref="D53">INDEX($C$11:$I$11,MOD(ROW()-41,7)+1)</f>
        <v>8.500000000000002E-2</v>
      </c>
      <c r="E53" s="101">
        <f t="shared" si="8"/>
        <v>5.7117133237396311E-2</v>
      </c>
      <c r="F53" s="104">
        <f>H53+NPV(Assumptions!$B$34,I53:AB53)</f>
        <v>-16.976905202508803</v>
      </c>
      <c r="H53" s="105">
        <f>H$38+IF(H$35=0,0,($C53*$D53*H$35)-H$36-MAX(0,($C53*$D53*H$35)-H$36-H$37)*Assumptions!$B$33)</f>
        <v>-60</v>
      </c>
      <c r="I53" s="105">
        <f>I$38+IF(I$35=0,0,($C53*$D53*I$35)-I$36-MAX(0,($C53*$D53*I$35)-I$36-I$37)*Assumptions!$B$33)</f>
        <v>4.7509800000000011</v>
      </c>
      <c r="J53" s="105">
        <f>J$38+IF(J$35=0,0,($C53*$D53*J$35)-J$36-MAX(0,($C53*$D53*J$35)-J$36-J$37)*Assumptions!$B$33)</f>
        <v>4.796144700000001</v>
      </c>
      <c r="K53" s="105">
        <f>K$38+IF(K$35=0,0,($C53*$D53*K$35)-K$36-MAX(0,($C53*$D53*K$35)-K$36-K$37)*Assumptions!$B$33)</f>
        <v>4.8416088705</v>
      </c>
      <c r="L53" s="105">
        <f>L$38+IF(L$35=0,0,($C53*$D53*L$35)-L$36-MAX(0,($C53*$D53*L$35)-L$36-L$37)*Assumptions!$B$33)</f>
        <v>4.8873656635574996</v>
      </c>
      <c r="M53" s="105">
        <f>M$38+IF(M$35=0,0,($C53*$D53*M$35)-M$36-MAX(0,($C53*$D53*M$35)-M$36-M$37)*Assumptions!$B$33)</f>
        <v>4.9334077883108618</v>
      </c>
      <c r="N53" s="105">
        <f>N$38+IF(N$35=0,0,($C53*$D53*N$35)-N$36-MAX(0,($C53*$D53*N$35)-N$36-N$37)*Assumptions!$B$33)</f>
        <v>4.9797274941295235</v>
      </c>
      <c r="O53" s="105">
        <f>O$38+IF(O$35=0,0,($C53*$D53*O$35)-O$36-MAX(0,($C53*$D53*O$35)-O$36-O$37)*Assumptions!$B$33)</f>
        <v>5.0263165532052856</v>
      </c>
      <c r="P53" s="105">
        <f>P$38+IF(P$35=0,0,($C53*$D53*P$35)-P$36-MAX(0,($C53*$D53*P$35)-P$36-P$37)*Assumptions!$B$33)</f>
        <v>5.0731662425670985</v>
      </c>
      <c r="Q53" s="105">
        <f>Q$38+IF(Q$35=0,0,($C53*$D53*Q$35)-Q$36-MAX(0,($C53*$D53*Q$35)-Q$36-Q$37)*Assumptions!$B$33)</f>
        <v>5.120267325501251</v>
      </c>
      <c r="R53" s="105">
        <f>R$38+IF(R$35=0,0,($C53*$D53*R$35)-R$36-MAX(0,($C53*$D53*R$35)-R$36-R$37)*Assumptions!$B$33)</f>
        <v>5.1676100323582856</v>
      </c>
      <c r="S53" s="105">
        <f>S$38+IF(S$35=0,0,($C53*$D53*S$35)-S$36-MAX(0,($C53*$D53*S$35)-S$36-S$37)*Assumptions!$B$33)</f>
        <v>5.2151840407274106</v>
      </c>
      <c r="T53" s="105">
        <f>T$38+IF(T$35=0,0,($C53*$D53*T$35)-T$36-MAX(0,($C53*$D53*T$35)-T$36-T$37)*Assumptions!$B$33)</f>
        <v>5.262978454958585</v>
      </c>
      <c r="U53" s="105">
        <f>U$38+IF(U$35=0,0,($C53*$D53*U$35)-U$36-MAX(0,($C53*$D53*U$35)-U$36-U$37)*Assumptions!$B$33)</f>
        <v>5.310981785011835</v>
      </c>
      <c r="V53" s="105">
        <f>V$38+IF(V$35=0,0,($C53*$D53*V$35)-V$36-MAX(0,($C53*$D53*V$35)-V$36-V$37)*Assumptions!$B$33)</f>
        <v>5.3591819246127503</v>
      </c>
      <c r="W53" s="105">
        <f>W$38+IF(W$35=0,0,($C53*$D53*W$35)-W$36-MAX(0,($C53*$D53*W$35)-W$36-W$37)*Assumptions!$B$33)</f>
        <v>5.4075661286924497</v>
      </c>
      <c r="X53" s="105">
        <f>X$38+IF(X$35=0,0,($C53*$D53*X$35)-X$36-MAX(0,($C53*$D53*X$35)-X$36-X$37)*Assumptions!$B$33)</f>
        <v>5.4561209900896621</v>
      </c>
      <c r="Y53" s="105">
        <f>Y$38+IF(Y$35=0,0,($C53*$D53*Y$35)-Y$36-MAX(0,($C53*$D53*Y$35)-Y$36-Y$37)*Assumptions!$B$33)</f>
        <v>5.5048324154918369</v>
      </c>
      <c r="Z53" s="105">
        <f>Z$38+IF(Z$35=0,0,($C53*$D53*Z$35)-Z$36-MAX(0,($C53*$D53*Z$35)-Z$36-Z$37)*Assumptions!$B$33)</f>
        <v>5.5536856005915691</v>
      </c>
      <c r="AA53" s="105">
        <f>AA$38+IF(AA$35=0,0,($C53*$D53*AA$35)-AA$36-MAX(0,($C53*$D53*AA$35)-AA$36-AA$37)*Assumptions!$B$33)</f>
        <v>5.6026650044338187</v>
      </c>
      <c r="AB53" s="105">
        <f>AB$38+IF(AB$35=0,0,($C53*$D53*AB$35)-AB$36-MAX(0,($C53*$D53*AB$35)-AB$36-AB$37)*Assumptions!$B$33)</f>
        <v>5.6517543229287011</v>
      </c>
    </row>
    <row r="54" spans="1:28" outlineLevel="1" x14ac:dyDescent="0.3">
      <c r="A54" s="100">
        <f t="shared" si="7"/>
        <v>14</v>
      </c>
      <c r="B54" s="101" cm="1">
        <f t="array" ref="B54">INDEX($B$12:$B$18,ROUNDUP((ROW()-40)/7,0))</f>
        <v>0.18</v>
      </c>
      <c r="C54" s="102">
        <f>Assumptions!$B$10*$B54</f>
        <v>78.84</v>
      </c>
      <c r="D54" s="103" cm="1">
        <f t="array" ref="D54">INDEX($C$11:$I$11,MOD(ROW()-41,7)+1)</f>
        <v>9.0000000000000024E-2</v>
      </c>
      <c r="E54" s="101">
        <f t="shared" si="8"/>
        <v>6.4159797761206061E-2</v>
      </c>
      <c r="F54" s="104">
        <f>H54+NPV(Assumptions!$B$34,I54:AB54)</f>
        <v>-14.380476712434024</v>
      </c>
      <c r="H54" s="105">
        <f>H$38+IF(H$35=0,0,($C54*$D54*H$35)-H$36-MAX(0,($C54*$D54*H$35)-H$36-H$37)*Assumptions!$B$33)</f>
        <v>-60</v>
      </c>
      <c r="I54" s="105">
        <f>I$38+IF(I$35=0,0,($C54*$D54*I$35)-I$36-MAX(0,($C54*$D54*I$35)-I$36-I$37)*Assumptions!$B$33)</f>
        <v>5.0269200000000014</v>
      </c>
      <c r="J54" s="105">
        <f>J$38+IF(J$35=0,0,($C54*$D54*J$35)-J$36-MAX(0,($C54*$D54*J$35)-J$36-J$37)*Assumptions!$B$33)</f>
        <v>5.0762238000000011</v>
      </c>
      <c r="K54" s="105">
        <f>K$38+IF(K$35=0,0,($C54*$D54*K$35)-K$36-MAX(0,($C54*$D54*K$35)-K$36-K$37)*Assumptions!$B$33)</f>
        <v>5.1258891569999996</v>
      </c>
      <c r="L54" s="105">
        <f>L$38+IF(L$35=0,0,($C54*$D54*L$35)-L$36-MAX(0,($C54*$D54*L$35)-L$36-L$37)*Assumptions!$B$33)</f>
        <v>5.1759101543549999</v>
      </c>
      <c r="M54" s="105">
        <f>M$38+IF(M$35=0,0,($C54*$D54*M$35)-M$36-MAX(0,($C54*$D54*M$35)-M$36-M$37)*Assumptions!$B$33)</f>
        <v>5.2262804464703239</v>
      </c>
      <c r="N54" s="105">
        <f>N$38+IF(N$35=0,0,($C54*$D54*N$35)-N$36-MAX(0,($C54*$D54*N$35)-N$36-N$37)*Assumptions!$B$33)</f>
        <v>5.2769932421613772</v>
      </c>
      <c r="O54" s="105">
        <f>O$38+IF(O$35=0,0,($C54*$D54*O$35)-O$36-MAX(0,($C54*$D54*O$35)-O$36-O$37)*Assumptions!$B$33)</f>
        <v>5.3280412874576175</v>
      </c>
      <c r="P54" s="105">
        <f>P$38+IF(P$35=0,0,($C54*$D54*P$35)-P$36-MAX(0,($C54*$D54*P$35)-P$36-P$37)*Assumptions!$B$33)</f>
        <v>5.3794168478332161</v>
      </c>
      <c r="Q54" s="105">
        <f>Q$38+IF(Q$35=0,0,($C54*$D54*Q$35)-Q$36-MAX(0,($C54*$D54*Q$35)-Q$36-Q$37)*Assumptions!$B$33)</f>
        <v>5.4311116898463601</v>
      </c>
      <c r="R54" s="105">
        <f>R$38+IF(R$35=0,0,($C54*$D54*R$35)-R$36-MAX(0,($C54*$D54*R$35)-R$36-R$37)*Assumptions!$B$33)</f>
        <v>5.4831170621685708</v>
      </c>
      <c r="S54" s="105">
        <f>S$38+IF(S$35=0,0,($C54*$D54*S$35)-S$36-MAX(0,($C54*$D54*S$35)-S$36-S$37)*Assumptions!$B$33)</f>
        <v>5.5354236759848501</v>
      </c>
      <c r="T54" s="105">
        <f>T$38+IF(T$35=0,0,($C54*$D54*T$35)-T$36-MAX(0,($C54*$D54*T$35)-T$36-T$37)*Assumptions!$B$33)</f>
        <v>5.588021684744886</v>
      </c>
      <c r="U54" s="105">
        <f>U$38+IF(U$35=0,0,($C54*$D54*U$35)-U$36-MAX(0,($C54*$D54*U$35)-U$36-U$37)*Assumptions!$B$33)</f>
        <v>5.6409006632449303</v>
      </c>
      <c r="V54" s="105">
        <f>V$38+IF(V$35=0,0,($C54*$D54*V$35)-V$36-MAX(0,($C54*$D54*V$35)-V$36-V$37)*Assumptions!$B$33)</f>
        <v>5.6940495860193421</v>
      </c>
      <c r="W54" s="105">
        <f>W$38+IF(W$35=0,0,($C54*$D54*W$35)-W$36-MAX(0,($C54*$D54*W$35)-W$36-W$37)*Assumptions!$B$33)</f>
        <v>5.7474568050201409</v>
      </c>
      <c r="X54" s="105">
        <f>X$38+IF(X$35=0,0,($C54*$D54*X$35)-X$36-MAX(0,($C54*$D54*X$35)-X$36-X$37)*Assumptions!$B$33)</f>
        <v>5.8011100265622675</v>
      </c>
      <c r="Y54" s="105">
        <f>Y$38+IF(Y$35=0,0,($C54*$D54*Y$35)-Y$36-MAX(0,($C54*$D54*Y$35)-Y$36-Y$37)*Assumptions!$B$33)</f>
        <v>5.8549962875115318</v>
      </c>
      <c r="Z54" s="105">
        <f>Z$38+IF(Z$35=0,0,($C54*$D54*Z$35)-Z$36-MAX(0,($C54*$D54*Z$35)-Z$36-Z$37)*Assumptions!$B$33)</f>
        <v>5.9091019306915582</v>
      </c>
      <c r="AA54" s="105">
        <f>AA$38+IF(AA$35=0,0,($C54*$D54*AA$35)-AA$36-MAX(0,($C54*$D54*AA$35)-AA$36-AA$37)*Assumptions!$B$33)</f>
        <v>5.9634125794853077</v>
      </c>
      <c r="AB54" s="105">
        <f>AB$38+IF(AB$35=0,0,($C54*$D54*AB$35)-AB$36-MAX(0,($C54*$D54*AB$35)-AB$36-AB$37)*Assumptions!$B$33)</f>
        <v>6.0179131116059636</v>
      </c>
    </row>
    <row r="55" spans="1:28" outlineLevel="1" x14ac:dyDescent="0.3">
      <c r="A55" s="100">
        <f t="shared" si="7"/>
        <v>15</v>
      </c>
      <c r="B55" s="101" cm="1">
        <f t="array" ref="B55">INDEX($B$12:$B$18,ROUNDUP((ROW()-40)/7,0))</f>
        <v>0.19500000000000001</v>
      </c>
      <c r="C55" s="102">
        <f>Assumptions!$B$10*$B55</f>
        <v>85.41</v>
      </c>
      <c r="D55" s="103" cm="1">
        <f t="array" ref="D55">INDEX($C$11:$I$11,MOD(ROW()-41,7)+1)</f>
        <v>0.06</v>
      </c>
      <c r="E55" s="101">
        <f t="shared" si="8"/>
        <v>2.6251617517972559E-2</v>
      </c>
      <c r="F55" s="104">
        <f>H55+NPV(Assumptions!$B$34,I55:AB55)</f>
        <v>-27.362619162807952</v>
      </c>
      <c r="H55" s="105">
        <f>H$38+IF(H$35=0,0,($C55*$D55*H$35)-H$36-MAX(0,($C55*$D55*H$35)-H$36-H$37)*Assumptions!$B$33)</f>
        <v>-60</v>
      </c>
      <c r="I55" s="105">
        <f>I$38+IF(I$35=0,0,($C55*$D55*I$35)-I$36-MAX(0,($C55*$D55*I$35)-I$36-I$37)*Assumptions!$B$33)</f>
        <v>3.6472199999999999</v>
      </c>
      <c r="J55" s="105">
        <f>J$38+IF(J$35=0,0,($C55*$D55*J$35)-J$36-MAX(0,($C55*$D55*J$35)-J$36-J$37)*Assumptions!$B$33)</f>
        <v>3.6758282999999996</v>
      </c>
      <c r="K55" s="105">
        <f>K$38+IF(K$35=0,0,($C55*$D55*K$35)-K$36-MAX(0,($C55*$D55*K$35)-K$36-K$37)*Assumptions!$B$33)</f>
        <v>3.704487724499999</v>
      </c>
      <c r="L55" s="105">
        <f>L$38+IF(L$35=0,0,($C55*$D55*L$35)-L$36-MAX(0,($C55*$D55*L$35)-L$36-L$37)*Assumptions!$B$33)</f>
        <v>3.7331877003674987</v>
      </c>
      <c r="M55" s="105">
        <f>M$38+IF(M$35=0,0,($C55*$D55*M$35)-M$36-MAX(0,($C55*$D55*M$35)-M$36-M$37)*Assumptions!$B$33)</f>
        <v>3.7619171556730104</v>
      </c>
      <c r="N55" s="105">
        <f>N$38+IF(N$35=0,0,($C55*$D55*N$35)-N$36-MAX(0,($C55*$D55*N$35)-N$36-N$37)*Assumptions!$B$33)</f>
        <v>3.7906645020021053</v>
      </c>
      <c r="O55" s="105">
        <f>O$38+IF(O$35=0,0,($C55*$D55*O$35)-O$36-MAX(0,($C55*$D55*O$35)-O$36-O$37)*Assumptions!$B$33)</f>
        <v>3.8194176161959561</v>
      </c>
      <c r="P55" s="105">
        <f>P$38+IF(P$35=0,0,($C55*$D55*P$35)-P$36-MAX(0,($C55*$D55*P$35)-P$36-P$37)*Assumptions!$B$33)</f>
        <v>3.848163821502629</v>
      </c>
      <c r="Q55" s="105">
        <f>Q$38+IF(Q$35=0,0,($C55*$D55*Q$35)-Q$36-MAX(0,($C55*$D55*Q$35)-Q$36-Q$37)*Assumptions!$B$33)</f>
        <v>3.8768898681208155</v>
      </c>
      <c r="R55" s="105">
        <f>R$38+IF(R$35=0,0,($C55*$D55*R$35)-R$36-MAX(0,($C55*$D55*R$35)-R$36-R$37)*Assumptions!$B$33)</f>
        <v>3.905581913117143</v>
      </c>
      <c r="S55" s="105">
        <f>S$38+IF(S$35=0,0,($C55*$D55*S$35)-S$36-MAX(0,($C55*$D55*S$35)-S$36-S$37)*Assumptions!$B$33)</f>
        <v>3.9342254996976509</v>
      </c>
      <c r="T55" s="105">
        <f>T$38+IF(T$35=0,0,($C55*$D55*T$35)-T$36-MAX(0,($C55*$D55*T$35)-T$36-T$37)*Assumptions!$B$33)</f>
        <v>3.9628055358133789</v>
      </c>
      <c r="U55" s="105">
        <f>U$38+IF(U$35=0,0,($C55*$D55*U$35)-U$36-MAX(0,($C55*$D55*U$35)-U$36-U$37)*Assumptions!$B$33)</f>
        <v>3.9913062720794517</v>
      </c>
      <c r="V55" s="105">
        <f>V$38+IF(V$35=0,0,($C55*$D55*V$35)-V$36-MAX(0,($C55*$D55*V$35)-V$36-V$37)*Assumptions!$B$33)</f>
        <v>4.0197112789863816</v>
      </c>
      <c r="W55" s="105">
        <f>W$38+IF(W$35=0,0,($C55*$D55*W$35)-W$36-MAX(0,($C55*$D55*W$35)-W$36-W$37)*Assumptions!$B$33)</f>
        <v>4.0480034233816857</v>
      </c>
      <c r="X55" s="105">
        <f>X$38+IF(X$35=0,0,($C55*$D55*X$35)-X$36-MAX(0,($C55*$D55*X$35)-X$36-X$37)*Assumptions!$B$33)</f>
        <v>4.0761648441992362</v>
      </c>
      <c r="Y55" s="105">
        <f>Y$38+IF(Y$35=0,0,($C55*$D55*Y$35)-Y$36-MAX(0,($C55*$D55*Y$35)-Y$36-Y$37)*Assumptions!$B$33)</f>
        <v>4.1041769274130546</v>
      </c>
      <c r="Z55" s="105">
        <f>Z$38+IF(Z$35=0,0,($C55*$D55*Z$35)-Z$36-MAX(0,($C55*$D55*Z$35)-Z$36-Z$37)*Assumptions!$B$33)</f>
        <v>4.1320202801916048</v>
      </c>
      <c r="AA55" s="105">
        <f>AA$38+IF(AA$35=0,0,($C55*$D55*AA$35)-AA$36-MAX(0,($C55*$D55*AA$35)-AA$36-AA$37)*Assumptions!$B$33)</f>
        <v>4.1596747042278546</v>
      </c>
      <c r="AB55" s="105">
        <f>AB$38+IF(AB$35=0,0,($C55*$D55*AB$35)-AB$36-MAX(0,($C55*$D55*AB$35)-AB$36-AB$37)*Assumptions!$B$33)</f>
        <v>4.1871191682196489</v>
      </c>
    </row>
    <row r="56" spans="1:28" outlineLevel="1" x14ac:dyDescent="0.3">
      <c r="A56" s="100">
        <f t="shared" si="7"/>
        <v>16</v>
      </c>
      <c r="B56" s="101" cm="1">
        <f t="array" ref="B56">INDEX($B$12:$B$18,ROUNDUP((ROW()-40)/7,0))</f>
        <v>0.19500000000000001</v>
      </c>
      <c r="C56" s="102">
        <f>Assumptions!$B$10*$B56</f>
        <v>85.41</v>
      </c>
      <c r="D56" s="103" cm="1">
        <f t="array" ref="D56">INDEX($C$11:$I$11,MOD(ROW()-41,7)+1)</f>
        <v>6.5000000000000002E-2</v>
      </c>
      <c r="E56" s="101">
        <f t="shared" si="8"/>
        <v>3.512029077101797E-2</v>
      </c>
      <c r="F56" s="104">
        <f>H56+NPV(Assumptions!$B$34,I56:AB56)</f>
        <v>-24.549821631893607</v>
      </c>
      <c r="H56" s="105">
        <f>H$38+IF(H$35=0,0,($C56*$D56*H$35)-H$36-MAX(0,($C56*$D56*H$35)-H$36-H$37)*Assumptions!$B$33)</f>
        <v>-60</v>
      </c>
      <c r="I56" s="105">
        <f>I$38+IF(I$35=0,0,($C56*$D56*I$35)-I$36-MAX(0,($C56*$D56*I$35)-I$36-I$37)*Assumptions!$B$33)</f>
        <v>3.9461549999999996</v>
      </c>
      <c r="J56" s="105">
        <f>J$38+IF(J$35=0,0,($C56*$D56*J$35)-J$36-MAX(0,($C56*$D56*J$35)-J$36-J$37)*Assumptions!$B$33)</f>
        <v>3.9792473249999993</v>
      </c>
      <c r="K56" s="105">
        <f>K$38+IF(K$35=0,0,($C56*$D56*K$35)-K$36-MAX(0,($C56*$D56*K$35)-K$36-K$37)*Assumptions!$B$33)</f>
        <v>4.0124580348749985</v>
      </c>
      <c r="L56" s="105">
        <f>L$38+IF(L$35=0,0,($C56*$D56*L$35)-L$36-MAX(0,($C56*$D56*L$35)-L$36-L$37)*Assumptions!$B$33)</f>
        <v>4.0457775653981232</v>
      </c>
      <c r="M56" s="105">
        <f>M$38+IF(M$35=0,0,($C56*$D56*M$35)-M$36-MAX(0,($C56*$D56*M$35)-M$36-M$37)*Assumptions!$B$33)</f>
        <v>4.0791958686790943</v>
      </c>
      <c r="N56" s="105">
        <f>N$38+IF(N$35=0,0,($C56*$D56*N$35)-N$36-MAX(0,($C56*$D56*N$35)-N$36-N$37)*Assumptions!$B$33)</f>
        <v>4.1127023957032804</v>
      </c>
      <c r="O56" s="105">
        <f>O$38+IF(O$35=0,0,($C56*$D56*O$35)-O$36-MAX(0,($C56*$D56*O$35)-O$36-O$37)*Assumptions!$B$33)</f>
        <v>4.1462860783026487</v>
      </c>
      <c r="P56" s="105">
        <f>P$38+IF(P$35=0,0,($C56*$D56*P$35)-P$36-MAX(0,($C56*$D56*P$35)-P$36-P$37)*Assumptions!$B$33)</f>
        <v>4.1799353105409223</v>
      </c>
      <c r="Q56" s="105">
        <f>Q$38+IF(Q$35=0,0,($C56*$D56*Q$35)-Q$36-MAX(0,($C56*$D56*Q$35)-Q$36-Q$37)*Assumptions!$B$33)</f>
        <v>4.2136379294946824</v>
      </c>
      <c r="R56" s="105">
        <f>R$38+IF(R$35=0,0,($C56*$D56*R$35)-R$36-MAX(0,($C56*$D56*R$35)-R$36-R$37)*Assumptions!$B$33)</f>
        <v>4.2473811954116183</v>
      </c>
      <c r="S56" s="105">
        <f>S$38+IF(S$35=0,0,($C56*$D56*S$35)-S$36-MAX(0,($C56*$D56*S$35)-S$36-S$37)*Assumptions!$B$33)</f>
        <v>4.2811517712265434</v>
      </c>
      <c r="T56" s="105">
        <f>T$38+IF(T$35=0,0,($C56*$D56*T$35)-T$36-MAX(0,($C56*$D56*T$35)-T$36-T$37)*Assumptions!$B$33)</f>
        <v>4.3149357014152061</v>
      </c>
      <c r="U56" s="105">
        <f>U$38+IF(U$35=0,0,($C56*$D56*U$35)-U$36-MAX(0,($C56*$D56*U$35)-U$36-U$37)*Assumptions!$B$33)</f>
        <v>4.3487183901653044</v>
      </c>
      <c r="V56" s="105">
        <f>V$38+IF(V$35=0,0,($C56*$D56*V$35)-V$36-MAX(0,($C56*$D56*V$35)-V$36-V$37)*Assumptions!$B$33)</f>
        <v>4.3824845788435223</v>
      </c>
      <c r="W56" s="105">
        <f>W$38+IF(W$35=0,0,($C56*$D56*W$35)-W$36-MAX(0,($C56*$D56*W$35)-W$36-W$37)*Assumptions!$B$33)</f>
        <v>4.4162183227366842</v>
      </c>
      <c r="X56" s="105">
        <f>X$38+IF(X$35=0,0,($C56*$D56*X$35)-X$36-MAX(0,($C56*$D56*X$35)-X$36-X$37)*Assumptions!$B$33)</f>
        <v>4.4499029670445589</v>
      </c>
      <c r="Y56" s="105">
        <f>Y$38+IF(Y$35=0,0,($C56*$D56*Y$35)-Y$36-MAX(0,($C56*$D56*Y$35)-Y$36-Y$37)*Assumptions!$B$33)</f>
        <v>4.4835211221010569</v>
      </c>
      <c r="Z56" s="105">
        <f>Z$38+IF(Z$35=0,0,($C56*$D56*Z$35)-Z$36-MAX(0,($C56*$D56*Z$35)-Z$36-Z$37)*Assumptions!$B$33)</f>
        <v>4.5170546377999274</v>
      </c>
      <c r="AA56" s="105">
        <f>AA$38+IF(AA$35=0,0,($C56*$D56*AA$35)-AA$36-MAX(0,($C56*$D56*AA$35)-AA$36-AA$37)*Assumptions!$B$33)</f>
        <v>4.5504845772003018</v>
      </c>
      <c r="AB56" s="105">
        <f>AB$38+IF(AB$35=0,0,($C56*$D56*AB$35)-AB$36-MAX(0,($C56*$D56*AB$35)-AB$36-AB$37)*Assumptions!$B$33)</f>
        <v>4.5837911892866838</v>
      </c>
    </row>
    <row r="57" spans="1:28" outlineLevel="1" x14ac:dyDescent="0.3">
      <c r="A57" s="100">
        <f t="shared" si="7"/>
        <v>17</v>
      </c>
      <c r="B57" s="101" cm="1">
        <f t="array" ref="B57">INDEX($B$12:$B$18,ROUNDUP((ROW()-40)/7,0))</f>
        <v>0.19500000000000001</v>
      </c>
      <c r="C57" s="102">
        <f>Assumptions!$B$10*$B57</f>
        <v>85.41</v>
      </c>
      <c r="D57" s="103" cm="1">
        <f t="array" ref="D57">INDEX($C$11:$I$11,MOD(ROW()-41,7)+1)</f>
        <v>7.0000000000000007E-2</v>
      </c>
      <c r="E57" s="101">
        <f t="shared" si="8"/>
        <v>4.357737059343636E-2</v>
      </c>
      <c r="F57" s="104">
        <f>H57+NPV(Assumptions!$B$34,I57:AB57)</f>
        <v>-21.737024100979255</v>
      </c>
      <c r="H57" s="105">
        <f>H$38+IF(H$35=0,0,($C57*$D57*H$35)-H$36-MAX(0,($C57*$D57*H$35)-H$36-H$37)*Assumptions!$B$33)</f>
        <v>-60</v>
      </c>
      <c r="I57" s="105">
        <f>I$38+IF(I$35=0,0,($C57*$D57*I$35)-I$36-MAX(0,($C57*$D57*I$35)-I$36-I$37)*Assumptions!$B$33)</f>
        <v>4.2450899999999994</v>
      </c>
      <c r="J57" s="105">
        <f>J$38+IF(J$35=0,0,($C57*$D57*J$35)-J$36-MAX(0,($C57*$D57*J$35)-J$36-J$37)*Assumptions!$B$33)</f>
        <v>4.2826663499999995</v>
      </c>
      <c r="K57" s="105">
        <f>K$38+IF(K$35=0,0,($C57*$D57*K$35)-K$36-MAX(0,($C57*$D57*K$35)-K$36-K$37)*Assumptions!$B$33)</f>
        <v>4.320428345249999</v>
      </c>
      <c r="L57" s="105">
        <f>L$38+IF(L$35=0,0,($C57*$D57*L$35)-L$36-MAX(0,($C57*$D57*L$35)-L$36-L$37)*Assumptions!$B$33)</f>
        <v>4.3583674304287481</v>
      </c>
      <c r="M57" s="105">
        <f>M$38+IF(M$35=0,0,($C57*$D57*M$35)-M$36-MAX(0,($C57*$D57*M$35)-M$36-M$37)*Assumptions!$B$33)</f>
        <v>4.3964745816851787</v>
      </c>
      <c r="N57" s="105">
        <f>N$38+IF(N$35=0,0,($C57*$D57*N$35)-N$36-MAX(0,($C57*$D57*N$35)-N$36-N$37)*Assumptions!$B$33)</f>
        <v>4.4347402894044556</v>
      </c>
      <c r="O57" s="105">
        <f>O$38+IF(O$35=0,0,($C57*$D57*O$35)-O$36-MAX(0,($C57*$D57*O$35)-O$36-O$37)*Assumptions!$B$33)</f>
        <v>4.4731545404093414</v>
      </c>
      <c r="P57" s="105">
        <f>P$38+IF(P$35=0,0,($C57*$D57*P$35)-P$36-MAX(0,($C57*$D57*P$35)-P$36-P$37)*Assumptions!$B$33)</f>
        <v>4.5117067995792155</v>
      </c>
      <c r="Q57" s="105">
        <f>Q$38+IF(Q$35=0,0,($C57*$D57*Q$35)-Q$36-MAX(0,($C57*$D57*Q$35)-Q$36-Q$37)*Assumptions!$B$33)</f>
        <v>4.5503859908685511</v>
      </c>
      <c r="R57" s="105">
        <f>R$38+IF(R$35=0,0,($C57*$D57*R$35)-R$36-MAX(0,($C57*$D57*R$35)-R$36-R$37)*Assumptions!$B$33)</f>
        <v>4.5891804777060941</v>
      </c>
      <c r="S57" s="105">
        <f>S$38+IF(S$35=0,0,($C57*$D57*S$35)-S$36-MAX(0,($C57*$D57*S$35)-S$36-S$37)*Assumptions!$B$33)</f>
        <v>4.6280780427554369</v>
      </c>
      <c r="T57" s="105">
        <f>T$38+IF(T$35=0,0,($C57*$D57*T$35)-T$36-MAX(0,($C57*$D57*T$35)-T$36-T$37)*Assumptions!$B$33)</f>
        <v>4.6670658670170315</v>
      </c>
      <c r="U57" s="105">
        <f>U$38+IF(U$35=0,0,($C57*$D57*U$35)-U$36-MAX(0,($C57*$D57*U$35)-U$36-U$37)*Assumptions!$B$33)</f>
        <v>4.7061305082511584</v>
      </c>
      <c r="V57" s="105">
        <f>V$38+IF(V$35=0,0,($C57*$D57*V$35)-V$36-MAX(0,($C57*$D57*V$35)-V$36-V$37)*Assumptions!$B$33)</f>
        <v>4.7452578787006638</v>
      </c>
      <c r="W57" s="105">
        <f>W$38+IF(W$35=0,0,($C57*$D57*W$35)-W$36-MAX(0,($C57*$D57*W$35)-W$36-W$37)*Assumptions!$B$33)</f>
        <v>4.7844332220916819</v>
      </c>
      <c r="X57" s="105">
        <f>X$38+IF(X$35=0,0,($C57*$D57*X$35)-X$36-MAX(0,($C57*$D57*X$35)-X$36-X$37)*Assumptions!$B$33)</f>
        <v>4.8236410898898825</v>
      </c>
      <c r="Y57" s="105">
        <f>Y$38+IF(Y$35=0,0,($C57*$D57*Y$35)-Y$36-MAX(0,($C57*$D57*Y$35)-Y$36-Y$37)*Assumptions!$B$33)</f>
        <v>4.8628653167890601</v>
      </c>
      <c r="Z57" s="105">
        <f>Z$38+IF(Z$35=0,0,($C57*$D57*Z$35)-Z$36-MAX(0,($C57*$D57*Z$35)-Z$36-Z$37)*Assumptions!$B$33)</f>
        <v>4.9020889954082509</v>
      </c>
      <c r="AA57" s="105">
        <f>AA$38+IF(AA$35=0,0,($C57*$D57*AA$35)-AA$36-MAX(0,($C57*$D57*AA$35)-AA$36-AA$37)*Assumptions!$B$33)</f>
        <v>4.9412944501727498</v>
      </c>
      <c r="AB57" s="105">
        <f>AB$38+IF(AB$35=0,0,($C57*$D57*AB$35)-AB$36-MAX(0,($C57*$D57*AB$35)-AB$36-AB$37)*Assumptions!$B$33)</f>
        <v>4.9804632103537179</v>
      </c>
    </row>
    <row r="58" spans="1:28" outlineLevel="1" x14ac:dyDescent="0.3">
      <c r="A58" s="100">
        <f t="shared" si="7"/>
        <v>18</v>
      </c>
      <c r="B58" s="101" cm="1">
        <f t="array" ref="B58">INDEX($B$12:$B$18,ROUNDUP((ROW()-40)/7,0))</f>
        <v>0.19500000000000001</v>
      </c>
      <c r="C58" s="102">
        <f>Assumptions!$B$10*$B58</f>
        <v>85.41</v>
      </c>
      <c r="D58" s="103" cm="1">
        <f t="array" ref="D58">INDEX($C$11:$I$11,MOD(ROW()-41,7)+1)</f>
        <v>7.5000000000000011E-2</v>
      </c>
      <c r="E58" s="101">
        <f t="shared" si="8"/>
        <v>5.1684034759089892E-2</v>
      </c>
      <c r="F58" s="104">
        <f>H58+NPV(Assumptions!$B$34,I58:AB58)</f>
        <v>-18.924226570064917</v>
      </c>
      <c r="H58" s="105">
        <f>H$38+IF(H$35=0,0,($C58*$D58*H$35)-H$36-MAX(0,($C58*$D58*H$35)-H$36-H$37)*Assumptions!$B$33)</f>
        <v>-60</v>
      </c>
      <c r="I58" s="105">
        <f>I$38+IF(I$35=0,0,($C58*$D58*I$35)-I$36-MAX(0,($C58*$D58*I$35)-I$36-I$37)*Assumptions!$B$33)</f>
        <v>4.5440250000000004</v>
      </c>
      <c r="J58" s="105">
        <f>J$38+IF(J$35=0,0,($C58*$D58*J$35)-J$36-MAX(0,($C58*$D58*J$35)-J$36-J$37)*Assumptions!$B$33)</f>
        <v>4.5860853749999997</v>
      </c>
      <c r="K58" s="105">
        <f>K$38+IF(K$35=0,0,($C58*$D58*K$35)-K$36-MAX(0,($C58*$D58*K$35)-K$36-K$37)*Assumptions!$B$33)</f>
        <v>4.6283986556249985</v>
      </c>
      <c r="L58" s="105">
        <f>L$38+IF(L$35=0,0,($C58*$D58*L$35)-L$36-MAX(0,($C58*$D58*L$35)-L$36-L$37)*Assumptions!$B$33)</f>
        <v>4.6709572954593739</v>
      </c>
      <c r="M58" s="105">
        <f>M$38+IF(M$35=0,0,($C58*$D58*M$35)-M$36-MAX(0,($C58*$D58*M$35)-M$36-M$37)*Assumptions!$B$33)</f>
        <v>4.713753294691263</v>
      </c>
      <c r="N58" s="105">
        <f>N$38+IF(N$35=0,0,($C58*$D58*N$35)-N$36-MAX(0,($C58*$D58*N$35)-N$36-N$37)*Assumptions!$B$33)</f>
        <v>4.7567781831056317</v>
      </c>
      <c r="O58" s="105">
        <f>O$38+IF(O$35=0,0,($C58*$D58*O$35)-O$36-MAX(0,($C58*$D58*O$35)-O$36-O$37)*Assumptions!$B$33)</f>
        <v>4.8000230025160349</v>
      </c>
      <c r="P58" s="105">
        <f>P$38+IF(P$35=0,0,($C58*$D58*P$35)-P$36-MAX(0,($C58*$D58*P$35)-P$36-P$37)*Assumptions!$B$33)</f>
        <v>4.8434782886175096</v>
      </c>
      <c r="Q58" s="105">
        <f>Q$38+IF(Q$35=0,0,($C58*$D58*Q$35)-Q$36-MAX(0,($C58*$D58*Q$35)-Q$36-Q$37)*Assumptions!$B$33)</f>
        <v>4.887134052242418</v>
      </c>
      <c r="R58" s="105">
        <f>R$38+IF(R$35=0,0,($C58*$D58*R$35)-R$36-MAX(0,($C58*$D58*R$35)-R$36-R$37)*Assumptions!$B$33)</f>
        <v>4.9309797600005707</v>
      </c>
      <c r="S58" s="105">
        <f>S$38+IF(S$35=0,0,($C58*$D58*S$35)-S$36-MAX(0,($C58*$D58*S$35)-S$36-S$37)*Assumptions!$B$33)</f>
        <v>4.9750043142843294</v>
      </c>
      <c r="T58" s="105">
        <f>T$38+IF(T$35=0,0,($C58*$D58*T$35)-T$36-MAX(0,($C58*$D58*T$35)-T$36-T$37)*Assumptions!$B$33)</f>
        <v>5.0191960326188578</v>
      </c>
      <c r="U58" s="105">
        <f>U$38+IF(U$35=0,0,($C58*$D58*U$35)-U$36-MAX(0,($C58*$D58*U$35)-U$36-U$37)*Assumptions!$B$33)</f>
        <v>5.0635426263370125</v>
      </c>
      <c r="V58" s="105">
        <f>V$38+IF(V$35=0,0,($C58*$D58*V$35)-V$36-MAX(0,($C58*$D58*V$35)-V$36-V$37)*Assumptions!$B$33)</f>
        <v>5.1080311785578054</v>
      </c>
      <c r="W58" s="105">
        <f>W$38+IF(W$35=0,0,($C58*$D58*W$35)-W$36-MAX(0,($C58*$D58*W$35)-W$36-W$37)*Assumptions!$B$33)</f>
        <v>5.1526481214466813</v>
      </c>
      <c r="X58" s="105">
        <f>X$38+IF(X$35=0,0,($C58*$D58*X$35)-X$36-MAX(0,($C58*$D58*X$35)-X$36-X$37)*Assumptions!$B$33)</f>
        <v>5.1973792127352061</v>
      </c>
      <c r="Y58" s="105">
        <f>Y$38+IF(Y$35=0,0,($C58*$D58*Y$35)-Y$36-MAX(0,($C58*$D58*Y$35)-Y$36-Y$37)*Assumptions!$B$33)</f>
        <v>5.2422095114770642</v>
      </c>
      <c r="Z58" s="105">
        <f>Z$38+IF(Z$35=0,0,($C58*$D58*Z$35)-Z$36-MAX(0,($C58*$D58*Z$35)-Z$36-Z$37)*Assumptions!$B$33)</f>
        <v>5.2871233530165744</v>
      </c>
      <c r="AA58" s="105">
        <f>AA$38+IF(AA$35=0,0,($C58*$D58*AA$35)-AA$36-MAX(0,($C58*$D58*AA$35)-AA$36-AA$37)*Assumptions!$B$33)</f>
        <v>5.3321043231451988</v>
      </c>
      <c r="AB58" s="105">
        <f>AB$38+IF(AB$35=0,0,($C58*$D58*AB$35)-AB$36-MAX(0,($C58*$D58*AB$35)-AB$36-AB$37)*Assumptions!$B$33)</f>
        <v>5.3771352314207528</v>
      </c>
    </row>
    <row r="59" spans="1:28" outlineLevel="1" x14ac:dyDescent="0.3">
      <c r="A59" s="100">
        <f t="shared" si="7"/>
        <v>19</v>
      </c>
      <c r="B59" s="101" cm="1">
        <f t="array" ref="B59">INDEX($B$12:$B$18,ROUNDUP((ROW()-40)/7,0))</f>
        <v>0.19500000000000001</v>
      </c>
      <c r="C59" s="102">
        <f>Assumptions!$B$10*$B59</f>
        <v>85.41</v>
      </c>
      <c r="D59" s="103" cm="1">
        <f t="array" ref="D59">INDEX($C$11:$I$11,MOD(ROW()-41,7)+1)</f>
        <v>8.0000000000000016E-2</v>
      </c>
      <c r="E59" s="101">
        <f t="shared" si="8"/>
        <v>5.948910563283949E-2</v>
      </c>
      <c r="F59" s="104">
        <f>H59+NPV(Assumptions!$B$34,I59:AB59)</f>
        <v>-16.111429039150551</v>
      </c>
      <c r="H59" s="105">
        <f>H$38+IF(H$35=0,0,($C59*$D59*H$35)-H$36-MAX(0,($C59*$D59*H$35)-H$36-H$37)*Assumptions!$B$33)</f>
        <v>-60</v>
      </c>
      <c r="I59" s="105">
        <f>I$38+IF(I$35=0,0,($C59*$D59*I$35)-I$36-MAX(0,($C59*$D59*I$35)-I$36-I$37)*Assumptions!$B$33)</f>
        <v>4.8429600000000006</v>
      </c>
      <c r="J59" s="105">
        <f>J$38+IF(J$35=0,0,($C59*$D59*J$35)-J$36-MAX(0,($C59*$D59*J$35)-J$36-J$37)*Assumptions!$B$33)</f>
        <v>4.8895043999999999</v>
      </c>
      <c r="K59" s="105">
        <f>K$38+IF(K$35=0,0,($C59*$D59*K$35)-K$36-MAX(0,($C59*$D59*K$35)-K$36-K$37)*Assumptions!$B$33)</f>
        <v>4.936368965999999</v>
      </c>
      <c r="L59" s="105">
        <f>L$38+IF(L$35=0,0,($C59*$D59*L$35)-L$36-MAX(0,($C59*$D59*L$35)-L$36-L$37)*Assumptions!$B$33)</f>
        <v>4.9835471604899988</v>
      </c>
      <c r="M59" s="105">
        <f>M$38+IF(M$35=0,0,($C59*$D59*M$35)-M$36-MAX(0,($C59*$D59*M$35)-M$36-M$37)*Assumptions!$B$33)</f>
        <v>5.0310320076973474</v>
      </c>
      <c r="N59" s="105">
        <f>N$38+IF(N$35=0,0,($C59*$D59*N$35)-N$36-MAX(0,($C59*$D59*N$35)-N$36-N$37)*Assumptions!$B$33)</f>
        <v>5.0788160768068078</v>
      </c>
      <c r="O59" s="105">
        <f>O$38+IF(O$35=0,0,($C59*$D59*O$35)-O$36-MAX(0,($C59*$D59*O$35)-O$36-O$37)*Assumptions!$B$33)</f>
        <v>5.1268914646227284</v>
      </c>
      <c r="P59" s="105">
        <f>P$38+IF(P$35=0,0,($C59*$D59*P$35)-P$36-MAX(0,($C59*$D59*P$35)-P$36-P$37)*Assumptions!$B$33)</f>
        <v>5.1752497776558037</v>
      </c>
      <c r="Q59" s="105">
        <f>Q$38+IF(Q$35=0,0,($C59*$D59*Q$35)-Q$36-MAX(0,($C59*$D59*Q$35)-Q$36-Q$37)*Assumptions!$B$33)</f>
        <v>5.2238821136162867</v>
      </c>
      <c r="R59" s="105">
        <f>R$38+IF(R$35=0,0,($C59*$D59*R$35)-R$36-MAX(0,($C59*$D59*R$35)-R$36-R$37)*Assumptions!$B$33)</f>
        <v>5.2727790422950456</v>
      </c>
      <c r="S59" s="105">
        <f>S$38+IF(S$35=0,0,($C59*$D59*S$35)-S$36-MAX(0,($C59*$D59*S$35)-S$36-S$37)*Assumptions!$B$33)</f>
        <v>5.3219305858132229</v>
      </c>
      <c r="T59" s="105">
        <f>T$38+IF(T$35=0,0,($C59*$D59*T$35)-T$36-MAX(0,($C59*$D59*T$35)-T$36-T$37)*Assumptions!$B$33)</f>
        <v>5.3713261982206841</v>
      </c>
      <c r="U59" s="105">
        <f>U$38+IF(U$35=0,0,($C59*$D59*U$35)-U$36-MAX(0,($C59*$D59*U$35)-U$36-U$37)*Assumptions!$B$33)</f>
        <v>5.4209547444228665</v>
      </c>
      <c r="V59" s="105">
        <f>V$38+IF(V$35=0,0,($C59*$D59*V$35)-V$36-MAX(0,($C59*$D59*V$35)-V$36-V$37)*Assumptions!$B$33)</f>
        <v>5.4708044784149461</v>
      </c>
      <c r="W59" s="105">
        <f>W$38+IF(W$35=0,0,($C59*$D59*W$35)-W$36-MAX(0,($C59*$D59*W$35)-W$36-W$37)*Assumptions!$B$33)</f>
        <v>5.5208630208016789</v>
      </c>
      <c r="X59" s="105">
        <f>X$38+IF(X$35=0,0,($C59*$D59*X$35)-X$36-MAX(0,($C59*$D59*X$35)-X$36-X$37)*Assumptions!$B$33)</f>
        <v>5.5711173355805297</v>
      </c>
      <c r="Y59" s="105">
        <f>Y$38+IF(Y$35=0,0,($C59*$D59*Y$35)-Y$36-MAX(0,($C59*$D59*Y$35)-Y$36-Y$37)*Assumptions!$B$33)</f>
        <v>5.6215537061650673</v>
      </c>
      <c r="Z59" s="105">
        <f>Z$38+IF(Z$35=0,0,($C59*$D59*Z$35)-Z$36-MAX(0,($C59*$D59*Z$35)-Z$36-Z$37)*Assumptions!$B$33)</f>
        <v>5.6721577106248979</v>
      </c>
      <c r="AA59" s="105">
        <f>AA$38+IF(AA$35=0,0,($C59*$D59*AA$35)-AA$36-MAX(0,($C59*$D59*AA$35)-AA$36-AA$37)*Assumptions!$B$33)</f>
        <v>5.7229141961176468</v>
      </c>
      <c r="AB59" s="105">
        <f>AB$38+IF(AB$35=0,0,($C59*$D59*AB$35)-AB$36-MAX(0,($C59*$D59*AB$35)-AB$36-AB$37)*Assumptions!$B$33)</f>
        <v>5.7738072524877868</v>
      </c>
    </row>
    <row r="60" spans="1:28" outlineLevel="1" x14ac:dyDescent="0.3">
      <c r="A60" s="100">
        <f t="shared" si="7"/>
        <v>20</v>
      </c>
      <c r="B60" s="101" cm="1">
        <f t="array" ref="B60">INDEX($B$12:$B$18,ROUNDUP((ROW()-40)/7,0))</f>
        <v>0.19500000000000001</v>
      </c>
      <c r="C60" s="102">
        <f>Assumptions!$B$10*$B60</f>
        <v>85.41</v>
      </c>
      <c r="D60" s="103" cm="1">
        <f t="array" ref="D60">INDEX($C$11:$I$11,MOD(ROW()-41,7)+1)</f>
        <v>8.500000000000002E-2</v>
      </c>
      <c r="E60" s="101">
        <f t="shared" si="8"/>
        <v>6.7032191834819121E-2</v>
      </c>
      <c r="F60" s="104">
        <f>H60+NPV(Assumptions!$B$34,I60:AB60)</f>
        <v>-13.298631508236191</v>
      </c>
      <c r="H60" s="105">
        <f>H$38+IF(H$35=0,0,($C60*$D60*H$35)-H$36-MAX(0,($C60*$D60*H$35)-H$36-H$37)*Assumptions!$B$33)</f>
        <v>-60</v>
      </c>
      <c r="I60" s="105">
        <f>I$38+IF(I$35=0,0,($C60*$D60*I$35)-I$36-MAX(0,($C60*$D60*I$35)-I$36-I$37)*Assumptions!$B$33)</f>
        <v>5.1418950000000008</v>
      </c>
      <c r="J60" s="105">
        <f>J$38+IF(J$35=0,0,($C60*$D60*J$35)-J$36-MAX(0,($C60*$D60*J$35)-J$36-J$37)*Assumptions!$B$33)</f>
        <v>5.1929234250000009</v>
      </c>
      <c r="K60" s="105">
        <f>K$38+IF(K$35=0,0,($C60*$D60*K$35)-K$36-MAX(0,($C60*$D60*K$35)-K$36-K$37)*Assumptions!$B$33)</f>
        <v>5.2443392763749994</v>
      </c>
      <c r="L60" s="105">
        <f>L$38+IF(L$35=0,0,($C60*$D60*L$35)-L$36-MAX(0,($C60*$D60*L$35)-L$36-L$37)*Assumptions!$B$33)</f>
        <v>5.2961370255206237</v>
      </c>
      <c r="M60" s="105">
        <f>M$38+IF(M$35=0,0,($C60*$D60*M$35)-M$36-MAX(0,($C60*$D60*M$35)-M$36-M$37)*Assumptions!$B$33)</f>
        <v>5.3483107207034326</v>
      </c>
      <c r="N60" s="105">
        <f>N$38+IF(N$35=0,0,($C60*$D60*N$35)-N$36-MAX(0,($C60*$D60*N$35)-N$36-N$37)*Assumptions!$B$33)</f>
        <v>5.400853970507983</v>
      </c>
      <c r="O60" s="105">
        <f>O$38+IF(O$35=0,0,($C60*$D60*O$35)-O$36-MAX(0,($C60*$D60*O$35)-O$36-O$37)*Assumptions!$B$33)</f>
        <v>5.4537599267294219</v>
      </c>
      <c r="P60" s="105">
        <f>P$38+IF(P$35=0,0,($C60*$D60*P$35)-P$36-MAX(0,($C60*$D60*P$35)-P$36-P$37)*Assumptions!$B$33)</f>
        <v>5.5070212666940961</v>
      </c>
      <c r="Q60" s="105">
        <f>Q$38+IF(Q$35=0,0,($C60*$D60*Q$35)-Q$36-MAX(0,($C60*$D60*Q$35)-Q$36-Q$37)*Assumptions!$B$33)</f>
        <v>5.5606301749901546</v>
      </c>
      <c r="R60" s="105">
        <f>R$38+IF(R$35=0,0,($C60*$D60*R$35)-R$36-MAX(0,($C60*$D60*R$35)-R$36-R$37)*Assumptions!$B$33)</f>
        <v>5.6145783245895222</v>
      </c>
      <c r="S60" s="105">
        <f>S$38+IF(S$35=0,0,($C60*$D60*S$35)-S$36-MAX(0,($C60*$D60*S$35)-S$36-S$37)*Assumptions!$B$33)</f>
        <v>5.6688568573421163</v>
      </c>
      <c r="T60" s="105">
        <f>T$38+IF(T$35=0,0,($C60*$D60*T$35)-T$36-MAX(0,($C60*$D60*T$35)-T$36-T$37)*Assumptions!$B$33)</f>
        <v>5.7234563638225104</v>
      </c>
      <c r="U60" s="105">
        <f>U$38+IF(U$35=0,0,($C60*$D60*U$35)-U$36-MAX(0,($C60*$D60*U$35)-U$36-U$37)*Assumptions!$B$33)</f>
        <v>5.7783668625087197</v>
      </c>
      <c r="V60" s="105">
        <f>V$38+IF(V$35=0,0,($C60*$D60*V$35)-V$36-MAX(0,($C60*$D60*V$35)-V$36-V$37)*Assumptions!$B$33)</f>
        <v>5.8335777782720886</v>
      </c>
      <c r="W60" s="105">
        <f>W$38+IF(W$35=0,0,($C60*$D60*W$35)-W$36-MAX(0,($C60*$D60*W$35)-W$36-W$37)*Assumptions!$B$33)</f>
        <v>5.8890779201566774</v>
      </c>
      <c r="X60" s="105">
        <f>X$38+IF(X$35=0,0,($C60*$D60*X$35)-X$36-MAX(0,($C60*$D60*X$35)-X$36-X$37)*Assumptions!$B$33)</f>
        <v>5.9448554584258533</v>
      </c>
      <c r="Y60" s="105">
        <f>Y$38+IF(Y$35=0,0,($C60*$D60*Y$35)-Y$36-MAX(0,($C60*$D60*Y$35)-Y$36-Y$37)*Assumptions!$B$33)</f>
        <v>6.0008979008530696</v>
      </c>
      <c r="Z60" s="105">
        <f>Z$38+IF(Z$35=0,0,($C60*$D60*Z$35)-Z$36-MAX(0,($C60*$D60*Z$35)-Z$36-Z$37)*Assumptions!$B$33)</f>
        <v>6.0571920682332205</v>
      </c>
      <c r="AA60" s="105">
        <f>AA$38+IF(AA$35=0,0,($C60*$D60*AA$35)-AA$36-MAX(0,($C60*$D60*AA$35)-AA$36-AA$37)*Assumptions!$B$33)</f>
        <v>6.1137240690900949</v>
      </c>
      <c r="AB60" s="105">
        <f>AB$38+IF(AB$35=0,0,($C60*$D60*AB$35)-AB$36-MAX(0,($C60*$D60*AB$35)-AB$36-AB$37)*Assumptions!$B$33)</f>
        <v>6.1704792735548226</v>
      </c>
    </row>
    <row r="61" spans="1:28" outlineLevel="1" x14ac:dyDescent="0.3">
      <c r="A61" s="100">
        <f t="shared" si="7"/>
        <v>21</v>
      </c>
      <c r="B61" s="101" cm="1">
        <f t="array" ref="B61">INDEX($B$12:$B$18,ROUNDUP((ROW()-40)/7,0))</f>
        <v>0.19500000000000001</v>
      </c>
      <c r="C61" s="102">
        <f>Assumptions!$B$10*$B61</f>
        <v>85.41</v>
      </c>
      <c r="D61" s="103" cm="1">
        <f t="array" ref="D61">INDEX($C$11:$I$11,MOD(ROW()-41,7)+1)</f>
        <v>9.0000000000000024E-2</v>
      </c>
      <c r="E61" s="101">
        <f t="shared" si="8"/>
        <v>7.4345885166156034E-2</v>
      </c>
      <c r="F61" s="104">
        <f>H61+NPV(Assumptions!$B$34,I61:AB61)</f>
        <v>-10.485833977321832</v>
      </c>
      <c r="H61" s="105">
        <f>H$38+IF(H$35=0,0,($C61*$D61*H$35)-H$36-MAX(0,($C61*$D61*H$35)-H$36-H$37)*Assumptions!$B$33)</f>
        <v>-60</v>
      </c>
      <c r="I61" s="105">
        <f>I$38+IF(I$35=0,0,($C61*$D61*I$35)-I$36-MAX(0,($C61*$D61*I$35)-I$36-I$37)*Assumptions!$B$33)</f>
        <v>5.4408300000000009</v>
      </c>
      <c r="J61" s="105">
        <f>J$38+IF(J$35=0,0,($C61*$D61*J$35)-J$36-MAX(0,($C61*$D61*J$35)-J$36-J$37)*Assumptions!$B$33)</f>
        <v>5.4963424500000011</v>
      </c>
      <c r="K61" s="105">
        <f>K$38+IF(K$35=0,0,($C61*$D61*K$35)-K$36-MAX(0,($C61*$D61*K$35)-K$36-K$37)*Assumptions!$B$33)</f>
        <v>5.552309586749999</v>
      </c>
      <c r="L61" s="105">
        <f>L$38+IF(L$35=0,0,($C61*$D61*L$35)-L$36-MAX(0,($C61*$D61*L$35)-L$36-L$37)*Assumptions!$B$33)</f>
        <v>5.6087268905512495</v>
      </c>
      <c r="M61" s="105">
        <f>M$38+IF(M$35=0,0,($C61*$D61*M$35)-M$36-MAX(0,($C61*$D61*M$35)-M$36-M$37)*Assumptions!$B$33)</f>
        <v>5.665589433709517</v>
      </c>
      <c r="N61" s="105">
        <f>N$38+IF(N$35=0,0,($C61*$D61*N$35)-N$36-MAX(0,($C61*$D61*N$35)-N$36-N$37)*Assumptions!$B$33)</f>
        <v>5.7228918642091582</v>
      </c>
      <c r="O61" s="105">
        <f>O$38+IF(O$35=0,0,($C61*$D61*O$35)-O$36-MAX(0,($C61*$D61*O$35)-O$36-O$37)*Assumptions!$B$33)</f>
        <v>5.7806283888361154</v>
      </c>
      <c r="P61" s="105">
        <f>P$38+IF(P$35=0,0,($C61*$D61*P$35)-P$36-MAX(0,($C61*$D61*P$35)-P$36-P$37)*Assumptions!$B$33)</f>
        <v>5.8387927557323902</v>
      </c>
      <c r="Q61" s="105">
        <f>Q$38+IF(Q$35=0,0,($C61*$D61*Q$35)-Q$36-MAX(0,($C61*$D61*Q$35)-Q$36-Q$37)*Assumptions!$B$33)</f>
        <v>5.8973782363640233</v>
      </c>
      <c r="R61" s="105">
        <f>R$38+IF(R$35=0,0,($C61*$D61*R$35)-R$36-MAX(0,($C61*$D61*R$35)-R$36-R$37)*Assumptions!$B$33)</f>
        <v>5.956377606883998</v>
      </c>
      <c r="S61" s="105">
        <f>S$38+IF(S$35=0,0,($C61*$D61*S$35)-S$36-MAX(0,($C61*$D61*S$35)-S$36-S$37)*Assumptions!$B$33)</f>
        <v>6.0157831288710097</v>
      </c>
      <c r="T61" s="105">
        <f>T$38+IF(T$35=0,0,($C61*$D61*T$35)-T$36-MAX(0,($C61*$D61*T$35)-T$36-T$37)*Assumptions!$B$33)</f>
        <v>6.0755865294243376</v>
      </c>
      <c r="U61" s="105">
        <f>U$38+IF(U$35=0,0,($C61*$D61*U$35)-U$36-MAX(0,($C61*$D61*U$35)-U$36-U$37)*Assumptions!$B$33)</f>
        <v>6.1357789805945737</v>
      </c>
      <c r="V61" s="105">
        <f>V$38+IF(V$35=0,0,($C61*$D61*V$35)-V$36-MAX(0,($C61*$D61*V$35)-V$36-V$37)*Assumptions!$B$33)</f>
        <v>6.1963510781292293</v>
      </c>
      <c r="W61" s="105">
        <f>W$38+IF(W$35=0,0,($C61*$D61*W$35)-W$36-MAX(0,($C61*$D61*W$35)-W$36-W$37)*Assumptions!$B$33)</f>
        <v>6.2572928195116768</v>
      </c>
      <c r="X61" s="105">
        <f>X$38+IF(X$35=0,0,($C61*$D61*X$35)-X$36-MAX(0,($C61*$D61*X$35)-X$36-X$37)*Assumptions!$B$33)</f>
        <v>6.318593581271176</v>
      </c>
      <c r="Y61" s="105">
        <f>Y$38+IF(Y$35=0,0,($C61*$D61*Y$35)-Y$36-MAX(0,($C61*$D61*Y$35)-Y$36-Y$37)*Assumptions!$B$33)</f>
        <v>6.3802420955410728</v>
      </c>
      <c r="Z61" s="105">
        <f>Z$38+IF(Z$35=0,0,($C61*$D61*Z$35)-Z$36-MAX(0,($C61*$D61*Z$35)-Z$36-Z$37)*Assumptions!$B$33)</f>
        <v>6.442226425841544</v>
      </c>
      <c r="AA61" s="105">
        <f>AA$38+IF(AA$35=0,0,($C61*$D61*AA$35)-AA$36-MAX(0,($C61*$D61*AA$35)-AA$36-AA$37)*Assumptions!$B$33)</f>
        <v>6.504533942062543</v>
      </c>
      <c r="AB61" s="105">
        <f>AB$38+IF(AB$35=0,0,($C61*$D61*AB$35)-AB$36-MAX(0,($C61*$D61*AB$35)-AB$36-AB$37)*Assumptions!$B$33)</f>
        <v>6.5671512946218566</v>
      </c>
    </row>
    <row r="62" spans="1:28" outlineLevel="1" x14ac:dyDescent="0.3">
      <c r="A62" s="100">
        <f t="shared" si="7"/>
        <v>22</v>
      </c>
      <c r="B62" s="101" cm="1">
        <f t="array" ref="B62">INDEX($B$12:$B$18,ROUNDUP((ROW()-40)/7,0))</f>
        <v>0.21000000000000002</v>
      </c>
      <c r="C62" s="102">
        <f>Assumptions!$B$10*$B62</f>
        <v>91.98</v>
      </c>
      <c r="D62" s="103" cm="1">
        <f t="array" ref="D62">INDEX($C$11:$I$11,MOD(ROW()-41,7)+1)</f>
        <v>0.06</v>
      </c>
      <c r="E62" s="101">
        <f t="shared" si="8"/>
        <v>3.4453575711416828E-2</v>
      </c>
      <c r="F62" s="104">
        <f>H62+NPV(Assumptions!$B$34,I62:AB62)</f>
        <v>-24.766190672733174</v>
      </c>
      <c r="H62" s="105">
        <f>H$38+IF(H$35=0,0,($C62*$D62*H$35)-H$36-MAX(0,($C62*$D62*H$35)-H$36-H$37)*Assumptions!$B$33)</f>
        <v>-60</v>
      </c>
      <c r="I62" s="105">
        <f>I$38+IF(I$35=0,0,($C62*$D62*I$35)-I$36-MAX(0,($C62*$D62*I$35)-I$36-I$37)*Assumptions!$B$33)</f>
        <v>3.9231599999999998</v>
      </c>
      <c r="J62" s="105">
        <f>J$38+IF(J$35=0,0,($C62*$D62*J$35)-J$36-MAX(0,($C62*$D62*J$35)-J$36-J$37)*Assumptions!$B$33)</f>
        <v>3.9559073999999992</v>
      </c>
      <c r="K62" s="105">
        <f>K$38+IF(K$35=0,0,($C62*$D62*K$35)-K$36-MAX(0,($C62*$D62*K$35)-K$36-K$37)*Assumptions!$B$33)</f>
        <v>3.9887680109999986</v>
      </c>
      <c r="L62" s="105">
        <f>L$38+IF(L$35=0,0,($C62*$D62*L$35)-L$36-MAX(0,($C62*$D62*L$35)-L$36-L$37)*Assumptions!$B$33)</f>
        <v>4.0217321911649986</v>
      </c>
      <c r="M62" s="105">
        <f>M$38+IF(M$35=0,0,($C62*$D62*M$35)-M$36-MAX(0,($C62*$D62*M$35)-M$36-M$37)*Assumptions!$B$33)</f>
        <v>4.0547898138324729</v>
      </c>
      <c r="N62" s="105">
        <f>N$38+IF(N$35=0,0,($C62*$D62*N$35)-N$36-MAX(0,($C62*$D62*N$35)-N$36-N$37)*Assumptions!$B$33)</f>
        <v>4.0879302500339589</v>
      </c>
      <c r="O62" s="105">
        <f>O$38+IF(O$35=0,0,($C62*$D62*O$35)-O$36-MAX(0,($C62*$D62*O$35)-O$36-O$37)*Assumptions!$B$33)</f>
        <v>4.1211423504482871</v>
      </c>
      <c r="P62" s="105">
        <f>P$38+IF(P$35=0,0,($C62*$D62*P$35)-P$36-MAX(0,($C62*$D62*P$35)-P$36-P$37)*Assumptions!$B$33)</f>
        <v>4.1544144267687457</v>
      </c>
      <c r="Q62" s="105">
        <f>Q$38+IF(Q$35=0,0,($C62*$D62*Q$35)-Q$36-MAX(0,($C62*$D62*Q$35)-Q$36-Q$37)*Assumptions!$B$33)</f>
        <v>4.1877342324659237</v>
      </c>
      <c r="R62" s="105">
        <f>R$38+IF(R$35=0,0,($C62*$D62*R$35)-R$36-MAX(0,($C62*$D62*R$35)-R$36-R$37)*Assumptions!$B$33)</f>
        <v>4.2210889429274285</v>
      </c>
      <c r="S62" s="105">
        <f>S$38+IF(S$35=0,0,($C62*$D62*S$35)-S$36-MAX(0,($C62*$D62*S$35)-S$36-S$37)*Assumptions!$B$33)</f>
        <v>4.2544651349550904</v>
      </c>
      <c r="T62" s="105">
        <f>T$38+IF(T$35=0,0,($C62*$D62*T$35)-T$36-MAX(0,($C62*$D62*T$35)-T$36-T$37)*Assumptions!$B$33)</f>
        <v>4.2878487655996809</v>
      </c>
      <c r="U62" s="105">
        <f>U$38+IF(U$35=0,0,($C62*$D62*U$35)-U$36-MAX(0,($C62*$D62*U$35)-U$36-U$37)*Assumptions!$B$33)</f>
        <v>4.3212251503125465</v>
      </c>
      <c r="V62" s="105">
        <f>V$38+IF(V$35=0,0,($C62*$D62*V$35)-V$36-MAX(0,($C62*$D62*V$35)-V$36-V$37)*Assumptions!$B$33)</f>
        <v>4.3545789403929724</v>
      </c>
      <c r="W62" s="105">
        <f>W$38+IF(W$35=0,0,($C62*$D62*W$35)-W$36-MAX(0,($C62*$D62*W$35)-W$36-W$37)*Assumptions!$B$33)</f>
        <v>4.3878940997093761</v>
      </c>
      <c r="X62" s="105">
        <f>X$38+IF(X$35=0,0,($C62*$D62*X$35)-X$36-MAX(0,($C62*$D62*X$35)-X$36-X$37)*Assumptions!$B$33)</f>
        <v>4.4211538806718416</v>
      </c>
      <c r="Y62" s="105">
        <f>Y$38+IF(Y$35=0,0,($C62*$D62*Y$35)-Y$36-MAX(0,($C62*$D62*Y$35)-Y$36-Y$37)*Assumptions!$B$33)</f>
        <v>4.4543407994327495</v>
      </c>
      <c r="Z62" s="105">
        <f>Z$38+IF(Z$35=0,0,($C62*$D62*Z$35)-Z$36-MAX(0,($C62*$D62*Z$35)-Z$36-Z$37)*Assumptions!$B$33)</f>
        <v>4.4874366102915948</v>
      </c>
      <c r="AA62" s="105">
        <f>AA$38+IF(AA$35=0,0,($C62*$D62*AA$35)-AA$36-MAX(0,($C62*$D62*AA$35)-AA$36-AA$37)*Assumptions!$B$33)</f>
        <v>4.5204222792793445</v>
      </c>
      <c r="AB62" s="105">
        <f>AB$38+IF(AB$35=0,0,($C62*$D62*AB$35)-AB$36-MAX(0,($C62*$D62*AB$35)-AB$36-AB$37)*Assumptions!$B$33)</f>
        <v>4.5532779568969115</v>
      </c>
    </row>
    <row r="63" spans="1:28" outlineLevel="1" x14ac:dyDescent="0.3">
      <c r="A63" s="100">
        <f t="shared" si="7"/>
        <v>23</v>
      </c>
      <c r="B63" s="101" cm="1">
        <f t="array" ref="B63">INDEX($B$12:$B$18,ROUNDUP((ROW()-40)/7,0))</f>
        <v>0.21000000000000002</v>
      </c>
      <c r="C63" s="102">
        <f>Assumptions!$B$10*$B63</f>
        <v>91.98</v>
      </c>
      <c r="D63" s="103" cm="1">
        <f t="array" ref="D63">INDEX($C$11:$I$11,MOD(ROW()-41,7)+1)</f>
        <v>6.5000000000000002E-2</v>
      </c>
      <c r="E63" s="101">
        <f t="shared" si="8"/>
        <v>4.357737059343636E-2</v>
      </c>
      <c r="F63" s="104">
        <f>H63+NPV(Assumptions!$B$34,I63:AB63)</f>
        <v>-21.737024100979248</v>
      </c>
      <c r="H63" s="105">
        <f>H$38+IF(H$35=0,0,($C63*$D63*H$35)-H$36-MAX(0,($C63*$D63*H$35)-H$36-H$37)*Assumptions!$B$33)</f>
        <v>-60</v>
      </c>
      <c r="I63" s="105">
        <f>I$38+IF(I$35=0,0,($C63*$D63*I$35)-I$36-MAX(0,($C63*$D63*I$35)-I$36-I$37)*Assumptions!$B$33)</f>
        <v>4.2450900000000003</v>
      </c>
      <c r="J63" s="105">
        <f>J$38+IF(J$35=0,0,($C63*$D63*J$35)-J$36-MAX(0,($C63*$D63*J$35)-J$36-J$37)*Assumptions!$B$33)</f>
        <v>4.2826663500000004</v>
      </c>
      <c r="K63" s="105">
        <f>K$38+IF(K$35=0,0,($C63*$D63*K$35)-K$36-MAX(0,($C63*$D63*K$35)-K$36-K$37)*Assumptions!$B$33)</f>
        <v>4.320428345249999</v>
      </c>
      <c r="L63" s="105">
        <f>L$38+IF(L$35=0,0,($C63*$D63*L$35)-L$36-MAX(0,($C63*$D63*L$35)-L$36-L$37)*Assumptions!$B$33)</f>
        <v>4.358367430428749</v>
      </c>
      <c r="M63" s="105">
        <f>M$38+IF(M$35=0,0,($C63*$D63*M$35)-M$36-MAX(0,($C63*$D63*M$35)-M$36-M$37)*Assumptions!$B$33)</f>
        <v>4.3964745816851796</v>
      </c>
      <c r="N63" s="105">
        <f>N$38+IF(N$35=0,0,($C63*$D63*N$35)-N$36-MAX(0,($C63*$D63*N$35)-N$36-N$37)*Assumptions!$B$33)</f>
        <v>4.4347402894044565</v>
      </c>
      <c r="O63" s="105">
        <f>O$38+IF(O$35=0,0,($C63*$D63*O$35)-O$36-MAX(0,($C63*$D63*O$35)-O$36-O$37)*Assumptions!$B$33)</f>
        <v>4.4731545404093422</v>
      </c>
      <c r="P63" s="105">
        <f>P$38+IF(P$35=0,0,($C63*$D63*P$35)-P$36-MAX(0,($C63*$D63*P$35)-P$36-P$37)*Assumptions!$B$33)</f>
        <v>4.5117067995792164</v>
      </c>
      <c r="Q63" s="105">
        <f>Q$38+IF(Q$35=0,0,($C63*$D63*Q$35)-Q$36-MAX(0,($C63*$D63*Q$35)-Q$36-Q$37)*Assumptions!$B$33)</f>
        <v>4.5503859908685511</v>
      </c>
      <c r="R63" s="105">
        <f>R$38+IF(R$35=0,0,($C63*$D63*R$35)-R$36-MAX(0,($C63*$D63*R$35)-R$36-R$37)*Assumptions!$B$33)</f>
        <v>4.5891804777060949</v>
      </c>
      <c r="S63" s="105">
        <f>S$38+IF(S$35=0,0,($C63*$D63*S$35)-S$36-MAX(0,($C63*$D63*S$35)-S$36-S$37)*Assumptions!$B$33)</f>
        <v>4.6280780427554369</v>
      </c>
      <c r="T63" s="105">
        <f>T$38+IF(T$35=0,0,($C63*$D63*T$35)-T$36-MAX(0,($C63*$D63*T$35)-T$36-T$37)*Assumptions!$B$33)</f>
        <v>4.6670658670170324</v>
      </c>
      <c r="U63" s="105">
        <f>U$38+IF(U$35=0,0,($C63*$D63*U$35)-U$36-MAX(0,($C63*$D63*U$35)-U$36-U$37)*Assumptions!$B$33)</f>
        <v>4.7061305082511593</v>
      </c>
      <c r="V63" s="105">
        <f>V$38+IF(V$35=0,0,($C63*$D63*V$35)-V$36-MAX(0,($C63*$D63*V$35)-V$36-V$37)*Assumptions!$B$33)</f>
        <v>4.7452578787006638</v>
      </c>
      <c r="W63" s="105">
        <f>W$38+IF(W$35=0,0,($C63*$D63*W$35)-W$36-MAX(0,($C63*$D63*W$35)-W$36-W$37)*Assumptions!$B$33)</f>
        <v>4.7844332220916836</v>
      </c>
      <c r="X63" s="105">
        <f>X$38+IF(X$35=0,0,($C63*$D63*X$35)-X$36-MAX(0,($C63*$D63*X$35)-X$36-X$37)*Assumptions!$B$33)</f>
        <v>4.8236410898898834</v>
      </c>
      <c r="Y63" s="105">
        <f>Y$38+IF(Y$35=0,0,($C63*$D63*Y$35)-Y$36-MAX(0,($C63*$D63*Y$35)-Y$36-Y$37)*Assumptions!$B$33)</f>
        <v>4.8628653167890619</v>
      </c>
      <c r="Z63" s="105">
        <f>Z$38+IF(Z$35=0,0,($C63*$D63*Z$35)-Z$36-MAX(0,($C63*$D63*Z$35)-Z$36-Z$37)*Assumptions!$B$33)</f>
        <v>4.9020889954082518</v>
      </c>
      <c r="AA63" s="105">
        <f>AA$38+IF(AA$35=0,0,($C63*$D63*AA$35)-AA$36-MAX(0,($C63*$D63*AA$35)-AA$36-AA$37)*Assumptions!$B$33)</f>
        <v>4.9412944501727516</v>
      </c>
      <c r="AB63" s="105">
        <f>AB$38+IF(AB$35=0,0,($C63*$D63*AB$35)-AB$36-MAX(0,($C63*$D63*AB$35)-AB$36-AB$37)*Assumptions!$B$33)</f>
        <v>4.9804632103537196</v>
      </c>
    </row>
    <row r="64" spans="1:28" outlineLevel="1" x14ac:dyDescent="0.3">
      <c r="A64" s="100">
        <f t="shared" si="7"/>
        <v>24</v>
      </c>
      <c r="B64" s="101" cm="1">
        <f t="array" ref="B64">INDEX($B$12:$B$18,ROUNDUP((ROW()-40)/7,0))</f>
        <v>0.21000000000000002</v>
      </c>
      <c r="C64" s="102">
        <f>Assumptions!$B$10*$B64</f>
        <v>91.98</v>
      </c>
      <c r="D64" s="103" cm="1">
        <f t="array" ref="D64">INDEX($C$11:$I$11,MOD(ROW()-41,7)+1)</f>
        <v>7.0000000000000007E-2</v>
      </c>
      <c r="E64" s="101">
        <f t="shared" si="8"/>
        <v>5.2294577572431722E-2</v>
      </c>
      <c r="F64" s="104">
        <f>H64+NPV(Assumptions!$B$34,I64:AB64)</f>
        <v>-18.707857529225336</v>
      </c>
      <c r="H64" s="105">
        <f>H$38+IF(H$35=0,0,($C64*$D64*H$35)-H$36-MAX(0,($C64*$D64*H$35)-H$36-H$37)*Assumptions!$B$33)</f>
        <v>-60</v>
      </c>
      <c r="I64" s="105">
        <f>I$38+IF(I$35=0,0,($C64*$D64*I$35)-I$36-MAX(0,($C64*$D64*I$35)-I$36-I$37)*Assumptions!$B$33)</f>
        <v>4.5670200000000003</v>
      </c>
      <c r="J64" s="105">
        <f>J$38+IF(J$35=0,0,($C64*$D64*J$35)-J$36-MAX(0,($C64*$D64*J$35)-J$36-J$37)*Assumptions!$B$33)</f>
        <v>4.6094253000000007</v>
      </c>
      <c r="K64" s="105">
        <f>K$38+IF(K$35=0,0,($C64*$D64*K$35)-K$36-MAX(0,($C64*$D64*K$35)-K$36-K$37)*Assumptions!$B$33)</f>
        <v>4.6520886794999994</v>
      </c>
      <c r="L64" s="105">
        <f>L$38+IF(L$35=0,0,($C64*$D64*L$35)-L$36-MAX(0,($C64*$D64*L$35)-L$36-L$37)*Assumptions!$B$33)</f>
        <v>4.6950026696924994</v>
      </c>
      <c r="M64" s="105">
        <f>M$38+IF(M$35=0,0,($C64*$D64*M$35)-M$36-MAX(0,($C64*$D64*M$35)-M$36-M$37)*Assumptions!$B$33)</f>
        <v>4.7381593495378862</v>
      </c>
      <c r="N64" s="105">
        <f>N$38+IF(N$35=0,0,($C64*$D64*N$35)-N$36-MAX(0,($C64*$D64*N$35)-N$36-N$37)*Assumptions!$B$33)</f>
        <v>4.7815503287749532</v>
      </c>
      <c r="O64" s="105">
        <f>O$38+IF(O$35=0,0,($C64*$D64*O$35)-O$36-MAX(0,($C64*$D64*O$35)-O$36-O$37)*Assumptions!$B$33)</f>
        <v>4.8251667303703965</v>
      </c>
      <c r="P64" s="105">
        <f>P$38+IF(P$35=0,0,($C64*$D64*P$35)-P$36-MAX(0,($C64*$D64*P$35)-P$36-P$37)*Assumptions!$B$33)</f>
        <v>4.8689991723896862</v>
      </c>
      <c r="Q64" s="105">
        <f>Q$38+IF(Q$35=0,0,($C64*$D64*Q$35)-Q$36-MAX(0,($C64*$D64*Q$35)-Q$36-Q$37)*Assumptions!$B$33)</f>
        <v>4.9130377492711785</v>
      </c>
      <c r="R64" s="105">
        <f>R$38+IF(R$35=0,0,($C64*$D64*R$35)-R$36-MAX(0,($C64*$D64*R$35)-R$36-R$37)*Assumptions!$B$33)</f>
        <v>4.9572720124847613</v>
      </c>
      <c r="S64" s="105">
        <f>S$38+IF(S$35=0,0,($C64*$D64*S$35)-S$36-MAX(0,($C64*$D64*S$35)-S$36-S$37)*Assumptions!$B$33)</f>
        <v>5.0016909505557834</v>
      </c>
      <c r="T64" s="105">
        <f>T$38+IF(T$35=0,0,($C64*$D64*T$35)-T$36-MAX(0,($C64*$D64*T$35)-T$36-T$37)*Assumptions!$B$33)</f>
        <v>5.0462829684343831</v>
      </c>
      <c r="U64" s="105">
        <f>U$38+IF(U$35=0,0,($C64*$D64*U$35)-U$36-MAX(0,($C64*$D64*U$35)-U$36-U$37)*Assumptions!$B$33)</f>
        <v>5.0910358661897703</v>
      </c>
      <c r="V64" s="105">
        <f>V$38+IF(V$35=0,0,($C64*$D64*V$35)-V$36-MAX(0,($C64*$D64*V$35)-V$36-V$37)*Assumptions!$B$33)</f>
        <v>5.1359368170083552</v>
      </c>
      <c r="W64" s="105">
        <f>W$38+IF(W$35=0,0,($C64*$D64*W$35)-W$36-MAX(0,($C64*$D64*W$35)-W$36-W$37)*Assumptions!$B$33)</f>
        <v>5.1809723444739895</v>
      </c>
      <c r="X64" s="105">
        <f>X$38+IF(X$35=0,0,($C64*$D64*X$35)-X$36-MAX(0,($C64*$D64*X$35)-X$36-X$37)*Assumptions!$B$33)</f>
        <v>5.2261282991079234</v>
      </c>
      <c r="Y64" s="105">
        <f>Y$38+IF(Y$35=0,0,($C64*$D64*Y$35)-Y$36-MAX(0,($C64*$D64*Y$35)-Y$36-Y$37)*Assumptions!$B$33)</f>
        <v>5.2713898341453715</v>
      </c>
      <c r="Z64" s="105">
        <f>Z$38+IF(Z$35=0,0,($C64*$D64*Z$35)-Z$36-MAX(0,($C64*$D64*Z$35)-Z$36-Z$37)*Assumptions!$B$33)</f>
        <v>5.3167413805249062</v>
      </c>
      <c r="AA64" s="105">
        <f>AA$38+IF(AA$35=0,0,($C64*$D64*AA$35)-AA$36-MAX(0,($C64*$D64*AA$35)-AA$36-AA$37)*Assumptions!$B$33)</f>
        <v>5.362166621066156</v>
      </c>
      <c r="AB64" s="105">
        <f>AB$38+IF(AB$35=0,0,($C64*$D64*AB$35)-AB$36-MAX(0,($C64*$D64*AB$35)-AB$36-AB$37)*Assumptions!$B$33)</f>
        <v>5.407648463810526</v>
      </c>
    </row>
    <row r="65" spans="1:28" outlineLevel="1" x14ac:dyDescent="0.3">
      <c r="A65" s="100">
        <f t="shared" si="7"/>
        <v>25</v>
      </c>
      <c r="B65" s="101" cm="1">
        <f t="array" ref="B65">INDEX($B$12:$B$18,ROUNDUP((ROW()-40)/7,0))</f>
        <v>0.21000000000000002</v>
      </c>
      <c r="C65" s="102">
        <f>Assumptions!$B$10*$B65</f>
        <v>91.98</v>
      </c>
      <c r="D65" s="103" cm="1">
        <f t="array" ref="D65">INDEX($C$11:$I$11,MOD(ROW()-41,7)+1)</f>
        <v>7.5000000000000011E-2</v>
      </c>
      <c r="E65" s="101">
        <f t="shared" si="8"/>
        <v>6.0665744754367479E-2</v>
      </c>
      <c r="F65" s="104">
        <f>H65+NPV(Assumptions!$B$34,I65:AB65)</f>
        <v>-15.67869095747141</v>
      </c>
      <c r="H65" s="105">
        <f>H$38+IF(H$35=0,0,($C65*$D65*H$35)-H$36-MAX(0,($C65*$D65*H$35)-H$36-H$37)*Assumptions!$B$33)</f>
        <v>-60</v>
      </c>
      <c r="I65" s="105">
        <f>I$38+IF(I$35=0,0,($C65*$D65*I$35)-I$36-MAX(0,($C65*$D65*I$35)-I$36-I$37)*Assumptions!$B$33)</f>
        <v>4.8889500000000004</v>
      </c>
      <c r="J65" s="105">
        <f>J$38+IF(J$35=0,0,($C65*$D65*J$35)-J$36-MAX(0,($C65*$D65*J$35)-J$36-J$37)*Assumptions!$B$33)</f>
        <v>4.9361842500000002</v>
      </c>
      <c r="K65" s="105">
        <f>K$38+IF(K$35=0,0,($C65*$D65*K$35)-K$36-MAX(0,($C65*$D65*K$35)-K$36-K$37)*Assumptions!$B$33)</f>
        <v>4.9837490137499998</v>
      </c>
      <c r="L65" s="105">
        <f>L$38+IF(L$35=0,0,($C65*$D65*L$35)-L$36-MAX(0,($C65*$D65*L$35)-L$36-L$37)*Assumptions!$B$33)</f>
        <v>5.0316379089562489</v>
      </c>
      <c r="M65" s="105">
        <f>M$38+IF(M$35=0,0,($C65*$D65*M$35)-M$36-MAX(0,($C65*$D65*M$35)-M$36-M$37)*Assumptions!$B$33)</f>
        <v>5.0798441173905919</v>
      </c>
      <c r="N65" s="105">
        <f>N$38+IF(N$35=0,0,($C65*$D65*N$35)-N$36-MAX(0,($C65*$D65*N$35)-N$36-N$37)*Assumptions!$B$33)</f>
        <v>5.1283603681454499</v>
      </c>
      <c r="O65" s="105">
        <f>O$38+IF(O$35=0,0,($C65*$D65*O$35)-O$36-MAX(0,($C65*$D65*O$35)-O$36-O$37)*Assumptions!$B$33)</f>
        <v>5.1771789203314507</v>
      </c>
      <c r="P65" s="105">
        <f>P$38+IF(P$35=0,0,($C65*$D65*P$35)-P$36-MAX(0,($C65*$D65*P$35)-P$36-P$37)*Assumptions!$B$33)</f>
        <v>5.2262915452001559</v>
      </c>
      <c r="Q65" s="105">
        <f>Q$38+IF(Q$35=0,0,($C65*$D65*Q$35)-Q$36-MAX(0,($C65*$D65*Q$35)-Q$36-Q$37)*Assumptions!$B$33)</f>
        <v>5.2756895076738051</v>
      </c>
      <c r="R65" s="105">
        <f>R$38+IF(R$35=0,0,($C65*$D65*R$35)-R$36-MAX(0,($C65*$D65*R$35)-R$36-R$37)*Assumptions!$B$33)</f>
        <v>5.3253635472634278</v>
      </c>
      <c r="S65" s="105">
        <f>S$38+IF(S$35=0,0,($C65*$D65*S$35)-S$36-MAX(0,($C65*$D65*S$35)-S$36-S$37)*Assumptions!$B$33)</f>
        <v>5.375303858356129</v>
      </c>
      <c r="T65" s="105">
        <f>T$38+IF(T$35=0,0,($C65*$D65*T$35)-T$36-MAX(0,($C65*$D65*T$35)-T$36-T$37)*Assumptions!$B$33)</f>
        <v>5.4255000698517346</v>
      </c>
      <c r="U65" s="105">
        <f>U$38+IF(U$35=0,0,($C65*$D65*U$35)-U$36-MAX(0,($C65*$D65*U$35)-U$36-U$37)*Assumptions!$B$33)</f>
        <v>5.4759412241283822</v>
      </c>
      <c r="V65" s="105">
        <f>V$38+IF(V$35=0,0,($C65*$D65*V$35)-V$36-MAX(0,($C65*$D65*V$35)-V$36-V$37)*Assumptions!$B$33)</f>
        <v>5.5266157553160467</v>
      </c>
      <c r="W65" s="105">
        <f>W$38+IF(W$35=0,0,($C65*$D65*W$35)-W$36-MAX(0,($C65*$D65*W$35)-W$36-W$37)*Assumptions!$B$33)</f>
        <v>5.5775114668562953</v>
      </c>
      <c r="X65" s="105">
        <f>X$38+IF(X$35=0,0,($C65*$D65*X$35)-X$36-MAX(0,($C65*$D65*X$35)-X$36-X$37)*Assumptions!$B$33)</f>
        <v>5.6286155083259635</v>
      </c>
      <c r="Y65" s="105">
        <f>Y$38+IF(Y$35=0,0,($C65*$D65*Y$35)-Y$36-MAX(0,($C65*$D65*Y$35)-Y$36-Y$37)*Assumptions!$B$33)</f>
        <v>5.679914351501683</v>
      </c>
      <c r="Z65" s="105">
        <f>Z$38+IF(Z$35=0,0,($C65*$D65*Z$35)-Z$36-MAX(0,($C65*$D65*Z$35)-Z$36-Z$37)*Assumptions!$B$33)</f>
        <v>5.7313937656415623</v>
      </c>
      <c r="AA65" s="105">
        <f>AA$38+IF(AA$35=0,0,($C65*$D65*AA$35)-AA$36-MAX(0,($C65*$D65*AA$35)-AA$36-AA$37)*Assumptions!$B$33)</f>
        <v>5.7830387919595623</v>
      </c>
      <c r="AB65" s="105">
        <f>AB$38+IF(AB$35=0,0,($C65*$D65*AB$35)-AB$36-MAX(0,($C65*$D65*AB$35)-AB$36-AB$37)*Assumptions!$B$33)</f>
        <v>5.8348337172673324</v>
      </c>
    </row>
    <row r="66" spans="1:28" outlineLevel="1" x14ac:dyDescent="0.3">
      <c r="A66" s="100">
        <f t="shared" si="7"/>
        <v>26</v>
      </c>
      <c r="B66" s="101" cm="1">
        <f t="array" ref="B66">INDEX($B$12:$B$18,ROUNDUP((ROW()-40)/7,0))</f>
        <v>0.21000000000000002</v>
      </c>
      <c r="C66" s="102">
        <f>Assumptions!$B$10*$B66</f>
        <v>91.98</v>
      </c>
      <c r="D66" s="103" cm="1">
        <f t="array" ref="D66">INDEX($C$11:$I$11,MOD(ROW()-41,7)+1)</f>
        <v>8.0000000000000016E-2</v>
      </c>
      <c r="E66" s="101">
        <f t="shared" si="8"/>
        <v>6.8739260720334761E-2</v>
      </c>
      <c r="F66" s="104">
        <f>H66+NPV(Assumptions!$B$34,I66:AB66)</f>
        <v>-12.649524385717484</v>
      </c>
      <c r="H66" s="105">
        <f>H$38+IF(H$35=0,0,($C66*$D66*H$35)-H$36-MAX(0,($C66*$D66*H$35)-H$36-H$37)*Assumptions!$B$33)</f>
        <v>-60</v>
      </c>
      <c r="I66" s="105">
        <f>I$38+IF(I$35=0,0,($C66*$D66*I$35)-I$36-MAX(0,($C66*$D66*I$35)-I$36-I$37)*Assumptions!$B$33)</f>
        <v>5.2108800000000013</v>
      </c>
      <c r="J66" s="105">
        <f>J$38+IF(J$35=0,0,($C66*$D66*J$35)-J$36-MAX(0,($C66*$D66*J$35)-J$36-J$37)*Assumptions!$B$33)</f>
        <v>5.2629432000000005</v>
      </c>
      <c r="K66" s="105">
        <f>K$38+IF(K$35=0,0,($C66*$D66*K$35)-K$36-MAX(0,($C66*$D66*K$35)-K$36-K$37)*Assumptions!$B$33)</f>
        <v>5.3154093479999993</v>
      </c>
      <c r="L66" s="105">
        <f>L$38+IF(L$35=0,0,($C66*$D66*L$35)-L$36-MAX(0,($C66*$D66*L$35)-L$36-L$37)*Assumptions!$B$33)</f>
        <v>5.3682731482199983</v>
      </c>
      <c r="M66" s="105">
        <f>M$38+IF(M$35=0,0,($C66*$D66*M$35)-M$36-MAX(0,($C66*$D66*M$35)-M$36-M$37)*Assumptions!$B$33)</f>
        <v>5.4215288852432977</v>
      </c>
      <c r="N66" s="105">
        <f>N$38+IF(N$35=0,0,($C66*$D66*N$35)-N$36-MAX(0,($C66*$D66*N$35)-N$36-N$37)*Assumptions!$B$33)</f>
        <v>5.4751704075159466</v>
      </c>
      <c r="O66" s="105">
        <f>O$38+IF(O$35=0,0,($C66*$D66*O$35)-O$36-MAX(0,($C66*$D66*O$35)-O$36-O$37)*Assumptions!$B$33)</f>
        <v>5.5291911102925049</v>
      </c>
      <c r="P66" s="105">
        <f>P$38+IF(P$35=0,0,($C66*$D66*P$35)-P$36-MAX(0,($C66*$D66*P$35)-P$36-P$37)*Assumptions!$B$33)</f>
        <v>5.5835839180106266</v>
      </c>
      <c r="Q66" s="105">
        <f>Q$38+IF(Q$35=0,0,($C66*$D66*Q$35)-Q$36-MAX(0,($C66*$D66*Q$35)-Q$36-Q$37)*Assumptions!$B$33)</f>
        <v>5.6383412660764325</v>
      </c>
      <c r="R66" s="105">
        <f>R$38+IF(R$35=0,0,($C66*$D66*R$35)-R$36-MAX(0,($C66*$D66*R$35)-R$36-R$37)*Assumptions!$B$33)</f>
        <v>5.6934550820420942</v>
      </c>
      <c r="S66" s="105">
        <f>S$38+IF(S$35=0,0,($C66*$D66*S$35)-S$36-MAX(0,($C66*$D66*S$35)-S$36-S$37)*Assumptions!$B$33)</f>
        <v>5.7489167661564764</v>
      </c>
      <c r="T66" s="105">
        <f>T$38+IF(T$35=0,0,($C66*$D66*T$35)-T$36-MAX(0,($C66*$D66*T$35)-T$36-T$37)*Assumptions!$B$33)</f>
        <v>5.8047171712690862</v>
      </c>
      <c r="U66" s="105">
        <f>U$38+IF(U$35=0,0,($C66*$D66*U$35)-U$36-MAX(0,($C66*$D66*U$35)-U$36-U$37)*Assumptions!$B$33)</f>
        <v>5.8608465820669933</v>
      </c>
      <c r="V66" s="105">
        <f>V$38+IF(V$35=0,0,($C66*$D66*V$35)-V$36-MAX(0,($C66*$D66*V$35)-V$36-V$37)*Assumptions!$B$33)</f>
        <v>5.9172946936237363</v>
      </c>
      <c r="W66" s="105">
        <f>W$38+IF(W$35=0,0,($C66*$D66*W$35)-W$36-MAX(0,($C66*$D66*W$35)-W$36-W$37)*Assumptions!$B$33)</f>
        <v>5.9740505892386011</v>
      </c>
      <c r="X66" s="105">
        <f>X$38+IF(X$35=0,0,($C66*$D66*X$35)-X$36-MAX(0,($C66*$D66*X$35)-X$36-X$37)*Assumptions!$B$33)</f>
        <v>6.0311027175440053</v>
      </c>
      <c r="Y66" s="105">
        <f>Y$38+IF(Y$35=0,0,($C66*$D66*Y$35)-Y$36-MAX(0,($C66*$D66*Y$35)-Y$36-Y$37)*Assumptions!$B$33)</f>
        <v>6.0884388688579953</v>
      </c>
      <c r="Z66" s="105">
        <f>Z$38+IF(Z$35=0,0,($C66*$D66*Z$35)-Z$36-MAX(0,($C66*$D66*Z$35)-Z$36-Z$37)*Assumptions!$B$33)</f>
        <v>6.1460461507582185</v>
      </c>
      <c r="AA66" s="105">
        <f>AA$38+IF(AA$35=0,0,($C66*$D66*AA$35)-AA$36-MAX(0,($C66*$D66*AA$35)-AA$36-AA$37)*Assumptions!$B$33)</f>
        <v>6.2039109628529676</v>
      </c>
      <c r="AB66" s="105">
        <f>AB$38+IF(AB$35=0,0,($C66*$D66*AB$35)-AB$36-MAX(0,($C66*$D66*AB$35)-AB$36-AB$37)*Assumptions!$B$33)</f>
        <v>6.2620189707241387</v>
      </c>
    </row>
    <row r="67" spans="1:28" outlineLevel="1" x14ac:dyDescent="0.3">
      <c r="A67" s="100">
        <f t="shared" si="7"/>
        <v>27</v>
      </c>
      <c r="B67" s="101" cm="1">
        <f t="array" ref="B67">INDEX($B$12:$B$18,ROUNDUP((ROW()-40)/7,0))</f>
        <v>0.21000000000000002</v>
      </c>
      <c r="C67" s="102">
        <f>Assumptions!$B$10*$B67</f>
        <v>91.98</v>
      </c>
      <c r="D67" s="103" cm="1">
        <f t="array" ref="D67">INDEX($C$11:$I$11,MOD(ROW()-41,7)+1)</f>
        <v>8.500000000000002E-2</v>
      </c>
      <c r="E67" s="101">
        <f t="shared" si="8"/>
        <v>7.6554427573364947E-2</v>
      </c>
      <c r="F67" s="104">
        <f>H67+NPV(Assumptions!$B$34,I67:AB67)</f>
        <v>-9.6203578139635866</v>
      </c>
      <c r="H67" s="105">
        <f>H$38+IF(H$35=0,0,($C67*$D67*H$35)-H$36-MAX(0,($C67*$D67*H$35)-H$36-H$37)*Assumptions!$B$33)</f>
        <v>-60</v>
      </c>
      <c r="I67" s="105">
        <f>I$38+IF(I$35=0,0,($C67*$D67*I$35)-I$36-MAX(0,($C67*$D67*I$35)-I$36-I$37)*Assumptions!$B$33)</f>
        <v>5.5328100000000013</v>
      </c>
      <c r="J67" s="105">
        <f>J$38+IF(J$35=0,0,($C67*$D67*J$35)-J$36-MAX(0,($C67*$D67*J$35)-J$36-J$37)*Assumptions!$B$33)</f>
        <v>5.5897021500000008</v>
      </c>
      <c r="K67" s="105">
        <f>K$38+IF(K$35=0,0,($C67*$D67*K$35)-K$36-MAX(0,($C67*$D67*K$35)-K$36-K$37)*Assumptions!$B$33)</f>
        <v>5.6470696822500006</v>
      </c>
      <c r="L67" s="105">
        <f>L$38+IF(L$35=0,0,($C67*$D67*L$35)-L$36-MAX(0,($C67*$D67*L$35)-L$36-L$37)*Assumptions!$B$33)</f>
        <v>5.7049083874837496</v>
      </c>
      <c r="M67" s="105">
        <f>M$38+IF(M$35=0,0,($C67*$D67*M$35)-M$36-MAX(0,($C67*$D67*M$35)-M$36-M$37)*Assumptions!$B$33)</f>
        <v>5.7632136530960052</v>
      </c>
      <c r="N67" s="105">
        <f>N$38+IF(N$35=0,0,($C67*$D67*N$35)-N$36-MAX(0,($C67*$D67*N$35)-N$36-N$37)*Assumptions!$B$33)</f>
        <v>5.8219804468864451</v>
      </c>
      <c r="O67" s="105">
        <f>O$38+IF(O$35=0,0,($C67*$D67*O$35)-O$36-MAX(0,($C67*$D67*O$35)-O$36-O$37)*Assumptions!$B$33)</f>
        <v>5.8812033002535591</v>
      </c>
      <c r="P67" s="105">
        <f>P$38+IF(P$35=0,0,($C67*$D67*P$35)-P$36-MAX(0,($C67*$D67*P$35)-P$36-P$37)*Assumptions!$B$33)</f>
        <v>5.9408762908210964</v>
      </c>
      <c r="Q67" s="105">
        <f>Q$38+IF(Q$35=0,0,($C67*$D67*Q$35)-Q$36-MAX(0,($C67*$D67*Q$35)-Q$36-Q$37)*Assumptions!$B$33)</f>
        <v>6.000993024479059</v>
      </c>
      <c r="R67" s="105">
        <f>R$38+IF(R$35=0,0,($C67*$D67*R$35)-R$36-MAX(0,($C67*$D67*R$35)-R$36-R$37)*Assumptions!$B$33)</f>
        <v>6.0615466168207606</v>
      </c>
      <c r="S67" s="105">
        <f>S$38+IF(S$35=0,0,($C67*$D67*S$35)-S$36-MAX(0,($C67*$D67*S$35)-S$36-S$37)*Assumptions!$B$33)</f>
        <v>6.1225296739568229</v>
      </c>
      <c r="T67" s="105">
        <f>T$38+IF(T$35=0,0,($C67*$D67*T$35)-T$36-MAX(0,($C67*$D67*T$35)-T$36-T$37)*Assumptions!$B$33)</f>
        <v>6.1839342726864386</v>
      </c>
      <c r="U67" s="105">
        <f>U$38+IF(U$35=0,0,($C67*$D67*U$35)-U$36-MAX(0,($C67*$D67*U$35)-U$36-U$37)*Assumptions!$B$33)</f>
        <v>6.2457519400056061</v>
      </c>
      <c r="V67" s="105">
        <f>V$38+IF(V$35=0,0,($C67*$D67*V$35)-V$36-MAX(0,($C67*$D67*V$35)-V$36-V$37)*Assumptions!$B$33)</f>
        <v>6.3079736319314277</v>
      </c>
      <c r="W67" s="105">
        <f>W$38+IF(W$35=0,0,($C67*$D67*W$35)-W$36-MAX(0,($C67*$D67*W$35)-W$36-W$37)*Assumptions!$B$33)</f>
        <v>6.3705897116209069</v>
      </c>
      <c r="X67" s="105">
        <f>X$38+IF(X$35=0,0,($C67*$D67*X$35)-X$36-MAX(0,($C67*$D67*X$35)-X$36-X$37)*Assumptions!$B$33)</f>
        <v>6.4335899267620453</v>
      </c>
      <c r="Y67" s="105">
        <f>Y$38+IF(Y$35=0,0,($C67*$D67*Y$35)-Y$36-MAX(0,($C67*$D67*Y$35)-Y$36-Y$37)*Assumptions!$B$33)</f>
        <v>6.4969633862143059</v>
      </c>
      <c r="Z67" s="105">
        <f>Z$38+IF(Z$35=0,0,($C67*$D67*Z$35)-Z$36-MAX(0,($C67*$D67*Z$35)-Z$36-Z$37)*Assumptions!$B$33)</f>
        <v>6.5606985358748755</v>
      </c>
      <c r="AA67" s="105">
        <f>AA$38+IF(AA$35=0,0,($C67*$D67*AA$35)-AA$36-MAX(0,($C67*$D67*AA$35)-AA$36-AA$37)*Assumptions!$B$33)</f>
        <v>6.6247831337463738</v>
      </c>
      <c r="AB67" s="105">
        <f>AB$38+IF(AB$35=0,0,($C67*$D67*AB$35)-AB$36-MAX(0,($C67*$D67*AB$35)-AB$36-AB$37)*Assumptions!$B$33)</f>
        <v>6.689204224180946</v>
      </c>
    </row>
    <row r="68" spans="1:28" outlineLevel="1" x14ac:dyDescent="0.3">
      <c r="A68" s="100">
        <f t="shared" si="7"/>
        <v>28</v>
      </c>
      <c r="B68" s="101" cm="1">
        <f t="array" ref="B68">INDEX($B$12:$B$18,ROUNDUP((ROW()-40)/7,0))</f>
        <v>0.21000000000000002</v>
      </c>
      <c r="C68" s="102">
        <f>Assumptions!$B$10*$B68</f>
        <v>91.98</v>
      </c>
      <c r="D68" s="103" cm="1">
        <f t="array" ref="D68">INDEX($C$11:$I$11,MOD(ROW()-41,7)+1)</f>
        <v>9.0000000000000024E-2</v>
      </c>
      <c r="E68" s="101">
        <f t="shared" si="8"/>
        <v>8.4143614837626446E-2</v>
      </c>
      <c r="F68" s="104">
        <f>H68+NPV(Assumptions!$B$34,I68:AB68)</f>
        <v>-6.5911912422096606</v>
      </c>
      <c r="H68" s="105">
        <f>H$38+IF(H$35=0,0,($C68*$D68*H$35)-H$36-MAX(0,($C68*$D68*H$35)-H$36-H$37)*Assumptions!$B$33)</f>
        <v>-60</v>
      </c>
      <c r="I68" s="105">
        <f>I$38+IF(I$35=0,0,($C68*$D68*I$35)-I$36-MAX(0,($C68*$D68*I$35)-I$36-I$37)*Assumptions!$B$33)</f>
        <v>5.8547400000000014</v>
      </c>
      <c r="J68" s="105">
        <f>J$38+IF(J$35=0,0,($C68*$D68*J$35)-J$36-MAX(0,($C68*$D68*J$35)-J$36-J$37)*Assumptions!$B$33)</f>
        <v>5.9164611000000011</v>
      </c>
      <c r="K68" s="105">
        <f>K$38+IF(K$35=0,0,($C68*$D68*K$35)-K$36-MAX(0,($C68*$D68*K$35)-K$36-K$37)*Assumptions!$B$33)</f>
        <v>5.9787300165000001</v>
      </c>
      <c r="L68" s="105">
        <f>L$38+IF(L$35=0,0,($C68*$D68*L$35)-L$36-MAX(0,($C68*$D68*L$35)-L$36-L$37)*Assumptions!$B$33)</f>
        <v>6.0415436267474991</v>
      </c>
      <c r="M68" s="105">
        <f>M$38+IF(M$35=0,0,($C68*$D68*M$35)-M$36-MAX(0,($C68*$D68*M$35)-M$36-M$37)*Assumptions!$B$33)</f>
        <v>6.1048984209487109</v>
      </c>
      <c r="N68" s="105">
        <f>N$38+IF(N$35=0,0,($C68*$D68*N$35)-N$36-MAX(0,($C68*$D68*N$35)-N$36-N$37)*Assumptions!$B$33)</f>
        <v>6.16879048625694</v>
      </c>
      <c r="O68" s="105">
        <f>O$38+IF(O$35=0,0,($C68*$D68*O$35)-O$36-MAX(0,($C68*$D68*O$35)-O$36-O$37)*Assumptions!$B$33)</f>
        <v>6.2332154902146133</v>
      </c>
      <c r="P68" s="105">
        <f>P$38+IF(P$35=0,0,($C68*$D68*P$35)-P$36-MAX(0,($C68*$D68*P$35)-P$36-P$37)*Assumptions!$B$33)</f>
        <v>6.2981686636315661</v>
      </c>
      <c r="Q68" s="105">
        <f>Q$38+IF(Q$35=0,0,($C68*$D68*Q$35)-Q$36-MAX(0,($C68*$D68*Q$35)-Q$36-Q$37)*Assumptions!$B$33)</f>
        <v>6.3636447828816864</v>
      </c>
      <c r="R68" s="105">
        <f>R$38+IF(R$35=0,0,($C68*$D68*R$35)-R$36-MAX(0,($C68*$D68*R$35)-R$36-R$37)*Assumptions!$B$33)</f>
        <v>6.4296381515994261</v>
      </c>
      <c r="S68" s="105">
        <f>S$38+IF(S$35=0,0,($C68*$D68*S$35)-S$36-MAX(0,($C68*$D68*S$35)-S$36-S$37)*Assumptions!$B$33)</f>
        <v>6.4961425817571676</v>
      </c>
      <c r="T68" s="105">
        <f>T$38+IF(T$35=0,0,($C68*$D68*T$35)-T$36-MAX(0,($C68*$D68*T$35)-T$36-T$37)*Assumptions!$B$33)</f>
        <v>6.5631513741037892</v>
      </c>
      <c r="U68" s="105">
        <f>U$38+IF(U$35=0,0,($C68*$D68*U$35)-U$36-MAX(0,($C68*$D68*U$35)-U$36-U$37)*Assumptions!$B$33)</f>
        <v>6.6306572979442171</v>
      </c>
      <c r="V68" s="105">
        <f>V$38+IF(V$35=0,0,($C68*$D68*V$35)-V$36-MAX(0,($C68*$D68*V$35)-V$36-V$37)*Assumptions!$B$33)</f>
        <v>6.6986525702391182</v>
      </c>
      <c r="W68" s="105">
        <f>W$38+IF(W$35=0,0,($C68*$D68*W$35)-W$36-MAX(0,($C68*$D68*W$35)-W$36-W$37)*Assumptions!$B$33)</f>
        <v>6.7671288340032119</v>
      </c>
      <c r="X68" s="105">
        <f>X$38+IF(X$35=0,0,($C68*$D68*X$35)-X$36-MAX(0,($C68*$D68*X$35)-X$36-X$37)*Assumptions!$B$33)</f>
        <v>6.8360771359800854</v>
      </c>
      <c r="Y68" s="105">
        <f>Y$38+IF(Y$35=0,0,($C68*$D68*Y$35)-Y$36-MAX(0,($C68*$D68*Y$35)-Y$36-Y$37)*Assumptions!$B$33)</f>
        <v>6.9054879035706165</v>
      </c>
      <c r="Z68" s="105">
        <f>Z$38+IF(Z$35=0,0,($C68*$D68*Z$35)-Z$36-MAX(0,($C68*$D68*Z$35)-Z$36-Z$37)*Assumptions!$B$33)</f>
        <v>6.9753509209915308</v>
      </c>
      <c r="AA68" s="105">
        <f>AA$38+IF(AA$35=0,0,($C68*$D68*AA$35)-AA$36-MAX(0,($C68*$D68*AA$35)-AA$36-AA$37)*Assumptions!$B$33)</f>
        <v>7.0456553046397783</v>
      </c>
      <c r="AB68" s="105">
        <f>AB$38+IF(AB$35=0,0,($C68*$D68*AB$35)-AB$36-MAX(0,($C68*$D68*AB$35)-AB$36-AB$37)*Assumptions!$B$33)</f>
        <v>7.1163894776377514</v>
      </c>
    </row>
    <row r="69" spans="1:28" outlineLevel="1" x14ac:dyDescent="0.3">
      <c r="A69" s="100">
        <f t="shared" si="7"/>
        <v>29</v>
      </c>
      <c r="B69" s="101" cm="1">
        <f t="array" ref="B69">INDEX($B$12:$B$18,ROUNDUP((ROW()-40)/7,0))</f>
        <v>0.22500000000000003</v>
      </c>
      <c r="C69" s="102">
        <f>Assumptions!$B$10*$B69</f>
        <v>98.550000000000011</v>
      </c>
      <c r="D69" s="103" cm="1">
        <f t="array" ref="D69">INDEX($C$11:$I$11,MOD(ROW()-41,7)+1)</f>
        <v>0.06</v>
      </c>
      <c r="E69" s="101">
        <f t="shared" si="8"/>
        <v>4.2300459488682662E-2</v>
      </c>
      <c r="F69" s="104">
        <f>H69+NPV(Assumptions!$B$34,I69:AB69)</f>
        <v>-22.169762182658388</v>
      </c>
      <c r="H69" s="105">
        <f>H$38+IF(H$35=0,0,($C69*$D69*H$35)-H$36-MAX(0,($C69*$D69*H$35)-H$36-H$37)*Assumptions!$B$33)</f>
        <v>-60</v>
      </c>
      <c r="I69" s="105">
        <f>I$38+IF(I$35=0,0,($C69*$D69*I$35)-I$36-MAX(0,($C69*$D69*I$35)-I$36-I$37)*Assumptions!$B$33)</f>
        <v>4.1990999999999996</v>
      </c>
      <c r="J69" s="105">
        <f>J$38+IF(J$35=0,0,($C69*$D69*J$35)-J$36-MAX(0,($C69*$D69*J$35)-J$36-J$37)*Assumptions!$B$33)</f>
        <v>4.2359865000000001</v>
      </c>
      <c r="K69" s="105">
        <f>K$38+IF(K$35=0,0,($C69*$D69*K$35)-K$36-MAX(0,($C69*$D69*K$35)-K$36-K$37)*Assumptions!$B$33)</f>
        <v>4.273048297499999</v>
      </c>
      <c r="L69" s="105">
        <f>L$38+IF(L$35=0,0,($C69*$D69*L$35)-L$36-MAX(0,($C69*$D69*L$35)-L$36-L$37)*Assumptions!$B$33)</f>
        <v>4.3102766819624989</v>
      </c>
      <c r="M69" s="105">
        <f>M$38+IF(M$35=0,0,($C69*$D69*M$35)-M$36-MAX(0,($C69*$D69*M$35)-M$36-M$37)*Assumptions!$B$33)</f>
        <v>4.347662471991935</v>
      </c>
      <c r="N69" s="105">
        <f>N$38+IF(N$35=0,0,($C69*$D69*N$35)-N$36-MAX(0,($C69*$D69*N$35)-N$36-N$37)*Assumptions!$B$33)</f>
        <v>4.3851959980658144</v>
      </c>
      <c r="O69" s="105">
        <f>O$38+IF(O$35=0,0,($C69*$D69*O$35)-O$36-MAX(0,($C69*$D69*O$35)-O$36-O$37)*Assumptions!$B$33)</f>
        <v>4.42286708470062</v>
      </c>
      <c r="P69" s="105">
        <f>P$38+IF(P$35=0,0,($C69*$D69*P$35)-P$36-MAX(0,($C69*$D69*P$35)-P$36-P$37)*Assumptions!$B$33)</f>
        <v>4.4606650320348633</v>
      </c>
      <c r="Q69" s="105">
        <f>Q$38+IF(Q$35=0,0,($C69*$D69*Q$35)-Q$36-MAX(0,($C69*$D69*Q$35)-Q$36-Q$37)*Assumptions!$B$33)</f>
        <v>4.4985785968110328</v>
      </c>
      <c r="R69" s="105">
        <f>R$38+IF(R$35=0,0,($C69*$D69*R$35)-R$36-MAX(0,($C69*$D69*R$35)-R$36-R$37)*Assumptions!$B$33)</f>
        <v>4.5365959727377136</v>
      </c>
      <c r="S69" s="105">
        <f>S$38+IF(S$35=0,0,($C69*$D69*S$35)-S$36-MAX(0,($C69*$D69*S$35)-S$36-S$37)*Assumptions!$B$33)</f>
        <v>4.5747047702125307</v>
      </c>
      <c r="T69" s="105">
        <f>T$38+IF(T$35=0,0,($C69*$D69*T$35)-T$36-MAX(0,($C69*$D69*T$35)-T$36-T$37)*Assumptions!$B$33)</f>
        <v>4.6128919953859819</v>
      </c>
      <c r="U69" s="105">
        <f>U$38+IF(U$35=0,0,($C69*$D69*U$35)-U$36-MAX(0,($C69*$D69*U$35)-U$36-U$37)*Assumptions!$B$33)</f>
        <v>4.6511440285456427</v>
      </c>
      <c r="V69" s="105">
        <f>V$38+IF(V$35=0,0,($C69*$D69*V$35)-V$36-MAX(0,($C69*$D69*V$35)-V$36-V$37)*Assumptions!$B$33)</f>
        <v>4.6894466017995651</v>
      </c>
      <c r="W69" s="105">
        <f>W$38+IF(W$35=0,0,($C69*$D69*W$35)-W$36-MAX(0,($C69*$D69*W$35)-W$36-W$37)*Assumptions!$B$33)</f>
        <v>4.7277847760370673</v>
      </c>
      <c r="X69" s="105">
        <f>X$38+IF(X$35=0,0,($C69*$D69*X$35)-X$36-MAX(0,($C69*$D69*X$35)-X$36-X$37)*Assumptions!$B$33)</f>
        <v>4.7661429171444487</v>
      </c>
      <c r="Y69" s="105">
        <f>Y$38+IF(Y$35=0,0,($C69*$D69*Y$35)-Y$36-MAX(0,($C69*$D69*Y$35)-Y$36-Y$37)*Assumptions!$B$33)</f>
        <v>4.8045046714524453</v>
      </c>
      <c r="Z69" s="105">
        <f>Z$38+IF(Z$35=0,0,($C69*$D69*Z$35)-Z$36-MAX(0,($C69*$D69*Z$35)-Z$36-Z$37)*Assumptions!$B$33)</f>
        <v>4.8428529403915856</v>
      </c>
      <c r="AA69" s="105">
        <f>AA$38+IF(AA$35=0,0,($C69*$D69*AA$35)-AA$36-MAX(0,($C69*$D69*AA$35)-AA$36-AA$37)*Assumptions!$B$33)</f>
        <v>4.8811698543308362</v>
      </c>
      <c r="AB69" s="105">
        <f>AB$38+IF(AB$35=0,0,($C69*$D69*AB$35)-AB$36-MAX(0,($C69*$D69*AB$35)-AB$36-AB$37)*Assumptions!$B$33)</f>
        <v>4.9194367455741741</v>
      </c>
    </row>
    <row r="70" spans="1:28" outlineLevel="1" x14ac:dyDescent="0.3">
      <c r="A70" s="100">
        <f t="shared" si="7"/>
        <v>30</v>
      </c>
      <c r="B70" s="101" cm="1">
        <f t="array" ref="B70">INDEX($B$12:$B$18,ROUNDUP((ROW()-40)/7,0))</f>
        <v>0.22500000000000003</v>
      </c>
      <c r="C70" s="102">
        <f>Assumptions!$B$10*$B70</f>
        <v>98.550000000000011</v>
      </c>
      <c r="D70" s="103" cm="1">
        <f t="array" ref="D70">INDEX($C$11:$I$11,MOD(ROW()-41,7)+1)</f>
        <v>6.5000000000000002E-2</v>
      </c>
      <c r="E70" s="101">
        <f t="shared" si="8"/>
        <v>5.1684034759089892E-2</v>
      </c>
      <c r="F70" s="104">
        <f>H70+NPV(Assumptions!$B$34,I70:AB70)</f>
        <v>-18.924226570064917</v>
      </c>
      <c r="H70" s="105">
        <f>H$38+IF(H$35=0,0,($C70*$D70*H$35)-H$36-MAX(0,($C70*$D70*H$35)-H$36-H$37)*Assumptions!$B$33)</f>
        <v>-60</v>
      </c>
      <c r="I70" s="105">
        <f>I$38+IF(I$35=0,0,($C70*$D70*I$35)-I$36-MAX(0,($C70*$D70*I$35)-I$36-I$37)*Assumptions!$B$33)</f>
        <v>4.5440250000000004</v>
      </c>
      <c r="J70" s="105">
        <f>J$38+IF(J$35=0,0,($C70*$D70*J$35)-J$36-MAX(0,($C70*$D70*J$35)-J$36-J$37)*Assumptions!$B$33)</f>
        <v>4.5860853750000006</v>
      </c>
      <c r="K70" s="105">
        <f>K$38+IF(K$35=0,0,($C70*$D70*K$35)-K$36-MAX(0,($C70*$D70*K$35)-K$36-K$37)*Assumptions!$B$33)</f>
        <v>4.6283986556249994</v>
      </c>
      <c r="L70" s="105">
        <f>L$38+IF(L$35=0,0,($C70*$D70*L$35)-L$36-MAX(0,($C70*$D70*L$35)-L$36-L$37)*Assumptions!$B$33)</f>
        <v>4.6709572954593739</v>
      </c>
      <c r="M70" s="105">
        <f>M$38+IF(M$35=0,0,($C70*$D70*M$35)-M$36-MAX(0,($C70*$D70*M$35)-M$36-M$37)*Assumptions!$B$33)</f>
        <v>4.7137532946912639</v>
      </c>
      <c r="N70" s="105">
        <f>N$38+IF(N$35=0,0,($C70*$D70*N$35)-N$36-MAX(0,($C70*$D70*N$35)-N$36-N$37)*Assumptions!$B$33)</f>
        <v>4.7567781831056317</v>
      </c>
      <c r="O70" s="105">
        <f>O$38+IF(O$35=0,0,($C70*$D70*O$35)-O$36-MAX(0,($C70*$D70*O$35)-O$36-O$37)*Assumptions!$B$33)</f>
        <v>4.8000230025160358</v>
      </c>
      <c r="P70" s="105">
        <f>P$38+IF(P$35=0,0,($C70*$D70*P$35)-P$36-MAX(0,($C70*$D70*P$35)-P$36-P$37)*Assumptions!$B$33)</f>
        <v>4.8434782886175096</v>
      </c>
      <c r="Q70" s="105">
        <f>Q$38+IF(Q$35=0,0,($C70*$D70*Q$35)-Q$36-MAX(0,($C70*$D70*Q$35)-Q$36-Q$37)*Assumptions!$B$33)</f>
        <v>4.8871340522424189</v>
      </c>
      <c r="R70" s="105">
        <f>R$38+IF(R$35=0,0,($C70*$D70*R$35)-R$36-MAX(0,($C70*$D70*R$35)-R$36-R$37)*Assumptions!$B$33)</f>
        <v>4.9309797600005707</v>
      </c>
      <c r="S70" s="105">
        <f>S$38+IF(S$35=0,0,($C70*$D70*S$35)-S$36-MAX(0,($C70*$D70*S$35)-S$36-S$37)*Assumptions!$B$33)</f>
        <v>4.9750043142843303</v>
      </c>
      <c r="T70" s="105">
        <f>T$38+IF(T$35=0,0,($C70*$D70*T$35)-T$36-MAX(0,($C70*$D70*T$35)-T$36-T$37)*Assumptions!$B$33)</f>
        <v>5.0191960326188596</v>
      </c>
      <c r="U70" s="105">
        <f>U$38+IF(U$35=0,0,($C70*$D70*U$35)-U$36-MAX(0,($C70*$D70*U$35)-U$36-U$37)*Assumptions!$B$33)</f>
        <v>5.0635426263370125</v>
      </c>
      <c r="V70" s="105">
        <f>V$38+IF(V$35=0,0,($C70*$D70*V$35)-V$36-MAX(0,($C70*$D70*V$35)-V$36-V$37)*Assumptions!$B$33)</f>
        <v>5.1080311785578054</v>
      </c>
      <c r="W70" s="105">
        <f>W$38+IF(W$35=0,0,($C70*$D70*W$35)-W$36-MAX(0,($C70*$D70*W$35)-W$36-W$37)*Assumptions!$B$33)</f>
        <v>5.1526481214466813</v>
      </c>
      <c r="X70" s="105">
        <f>X$38+IF(X$35=0,0,($C70*$D70*X$35)-X$36-MAX(0,($C70*$D70*X$35)-X$36-X$37)*Assumptions!$B$33)</f>
        <v>5.197379212735207</v>
      </c>
      <c r="Y70" s="105">
        <f>Y$38+IF(Y$35=0,0,($C70*$D70*Y$35)-Y$36-MAX(0,($C70*$D70*Y$35)-Y$36-Y$37)*Assumptions!$B$33)</f>
        <v>5.2422095114770642</v>
      </c>
      <c r="Z70" s="105">
        <f>Z$38+IF(Z$35=0,0,($C70*$D70*Z$35)-Z$36-MAX(0,($C70*$D70*Z$35)-Z$36-Z$37)*Assumptions!$B$33)</f>
        <v>5.2871233530165753</v>
      </c>
      <c r="AA70" s="105">
        <f>AA$38+IF(AA$35=0,0,($C70*$D70*AA$35)-AA$36-MAX(0,($C70*$D70*AA$35)-AA$36-AA$37)*Assumptions!$B$33)</f>
        <v>5.3321043231451988</v>
      </c>
      <c r="AB70" s="105">
        <f>AB$38+IF(AB$35=0,0,($C70*$D70*AB$35)-AB$36-MAX(0,($C70*$D70*AB$35)-AB$36-AB$37)*Assumptions!$B$33)</f>
        <v>5.3771352314207537</v>
      </c>
    </row>
    <row r="71" spans="1:28" outlineLevel="1" x14ac:dyDescent="0.3">
      <c r="A71" s="100">
        <f t="shared" si="7"/>
        <v>31</v>
      </c>
      <c r="B71" s="101" cm="1">
        <f t="array" ref="B71">INDEX($B$12:$B$18,ROUNDUP((ROW()-40)/7,0))</f>
        <v>0.22500000000000003</v>
      </c>
      <c r="C71" s="102">
        <f>Assumptions!$B$10*$B71</f>
        <v>98.550000000000011</v>
      </c>
      <c r="D71" s="103" cm="1">
        <f t="array" ref="D71">INDEX($C$11:$I$11,MOD(ROW()-41,7)+1)</f>
        <v>7.0000000000000007E-2</v>
      </c>
      <c r="E71" s="101">
        <f t="shared" si="8"/>
        <v>6.0665744754367479E-2</v>
      </c>
      <c r="F71" s="104">
        <f>H71+NPV(Assumptions!$B$34,I71:AB71)</f>
        <v>-15.67869095747141</v>
      </c>
      <c r="H71" s="105">
        <f>H$38+IF(H$35=0,0,($C71*$D71*H$35)-H$36-MAX(0,($C71*$D71*H$35)-H$36-H$37)*Assumptions!$B$33)</f>
        <v>-60</v>
      </c>
      <c r="I71" s="105">
        <f>I$38+IF(I$35=0,0,($C71*$D71*I$35)-I$36-MAX(0,($C71*$D71*I$35)-I$36-I$37)*Assumptions!$B$33)</f>
        <v>4.8889500000000004</v>
      </c>
      <c r="J71" s="105">
        <f>J$38+IF(J$35=0,0,($C71*$D71*J$35)-J$36-MAX(0,($C71*$D71*J$35)-J$36-J$37)*Assumptions!$B$33)</f>
        <v>4.9361842500000002</v>
      </c>
      <c r="K71" s="105">
        <f>K$38+IF(K$35=0,0,($C71*$D71*K$35)-K$36-MAX(0,($C71*$D71*K$35)-K$36-K$37)*Assumptions!$B$33)</f>
        <v>4.9837490137499998</v>
      </c>
      <c r="L71" s="105">
        <f>L$38+IF(L$35=0,0,($C71*$D71*L$35)-L$36-MAX(0,($C71*$D71*L$35)-L$36-L$37)*Assumptions!$B$33)</f>
        <v>5.0316379089562489</v>
      </c>
      <c r="M71" s="105">
        <f>M$38+IF(M$35=0,0,($C71*$D71*M$35)-M$36-MAX(0,($C71*$D71*M$35)-M$36-M$37)*Assumptions!$B$33)</f>
        <v>5.0798441173905919</v>
      </c>
      <c r="N71" s="105">
        <f>N$38+IF(N$35=0,0,($C71*$D71*N$35)-N$36-MAX(0,($C71*$D71*N$35)-N$36-N$37)*Assumptions!$B$33)</f>
        <v>5.1283603681454499</v>
      </c>
      <c r="O71" s="105">
        <f>O$38+IF(O$35=0,0,($C71*$D71*O$35)-O$36-MAX(0,($C71*$D71*O$35)-O$36-O$37)*Assumptions!$B$33)</f>
        <v>5.1771789203314507</v>
      </c>
      <c r="P71" s="105">
        <f>P$38+IF(P$35=0,0,($C71*$D71*P$35)-P$36-MAX(0,($C71*$D71*P$35)-P$36-P$37)*Assumptions!$B$33)</f>
        <v>5.2262915452001559</v>
      </c>
      <c r="Q71" s="105">
        <f>Q$38+IF(Q$35=0,0,($C71*$D71*Q$35)-Q$36-MAX(0,($C71*$D71*Q$35)-Q$36-Q$37)*Assumptions!$B$33)</f>
        <v>5.2756895076738051</v>
      </c>
      <c r="R71" s="105">
        <f>R$38+IF(R$35=0,0,($C71*$D71*R$35)-R$36-MAX(0,($C71*$D71*R$35)-R$36-R$37)*Assumptions!$B$33)</f>
        <v>5.3253635472634278</v>
      </c>
      <c r="S71" s="105">
        <f>S$38+IF(S$35=0,0,($C71*$D71*S$35)-S$36-MAX(0,($C71*$D71*S$35)-S$36-S$37)*Assumptions!$B$33)</f>
        <v>5.375303858356129</v>
      </c>
      <c r="T71" s="105">
        <f>T$38+IF(T$35=0,0,($C71*$D71*T$35)-T$36-MAX(0,($C71*$D71*T$35)-T$36-T$37)*Assumptions!$B$33)</f>
        <v>5.4255000698517346</v>
      </c>
      <c r="U71" s="105">
        <f>U$38+IF(U$35=0,0,($C71*$D71*U$35)-U$36-MAX(0,($C71*$D71*U$35)-U$36-U$37)*Assumptions!$B$33)</f>
        <v>5.4759412241283822</v>
      </c>
      <c r="V71" s="105">
        <f>V$38+IF(V$35=0,0,($C71*$D71*V$35)-V$36-MAX(0,($C71*$D71*V$35)-V$36-V$37)*Assumptions!$B$33)</f>
        <v>5.5266157553160467</v>
      </c>
      <c r="W71" s="105">
        <f>W$38+IF(W$35=0,0,($C71*$D71*W$35)-W$36-MAX(0,($C71*$D71*W$35)-W$36-W$37)*Assumptions!$B$33)</f>
        <v>5.5775114668562953</v>
      </c>
      <c r="X71" s="105">
        <f>X$38+IF(X$35=0,0,($C71*$D71*X$35)-X$36-MAX(0,($C71*$D71*X$35)-X$36-X$37)*Assumptions!$B$33)</f>
        <v>5.6286155083259635</v>
      </c>
      <c r="Y71" s="105">
        <f>Y$38+IF(Y$35=0,0,($C71*$D71*Y$35)-Y$36-MAX(0,($C71*$D71*Y$35)-Y$36-Y$37)*Assumptions!$B$33)</f>
        <v>5.679914351501683</v>
      </c>
      <c r="Z71" s="105">
        <f>Z$38+IF(Z$35=0,0,($C71*$D71*Z$35)-Z$36-MAX(0,($C71*$D71*Z$35)-Z$36-Z$37)*Assumptions!$B$33)</f>
        <v>5.7313937656415623</v>
      </c>
      <c r="AA71" s="105">
        <f>AA$38+IF(AA$35=0,0,($C71*$D71*AA$35)-AA$36-MAX(0,($C71*$D71*AA$35)-AA$36-AA$37)*Assumptions!$B$33)</f>
        <v>5.7830387919595623</v>
      </c>
      <c r="AB71" s="105">
        <f>AB$38+IF(AB$35=0,0,($C71*$D71*AB$35)-AB$36-MAX(0,($C71*$D71*AB$35)-AB$36-AB$37)*Assumptions!$B$33)</f>
        <v>5.8348337172673324</v>
      </c>
    </row>
    <row r="72" spans="1:28" outlineLevel="1" x14ac:dyDescent="0.3">
      <c r="A72" s="100">
        <f t="shared" si="7"/>
        <v>32</v>
      </c>
      <c r="B72" s="101" cm="1">
        <f t="array" ref="B72">INDEX($B$12:$B$18,ROUNDUP((ROW()-40)/7,0))</f>
        <v>0.22500000000000003</v>
      </c>
      <c r="C72" s="102">
        <f>Assumptions!$B$10*$B72</f>
        <v>98.550000000000011</v>
      </c>
      <c r="D72" s="103" cm="1">
        <f t="array" ref="D72">INDEX($C$11:$I$11,MOD(ROW()-41,7)+1)</f>
        <v>7.5000000000000011E-2</v>
      </c>
      <c r="E72" s="101">
        <f t="shared" si="8"/>
        <v>6.9305635904836072E-2</v>
      </c>
      <c r="F72" s="104">
        <f>H72+NPV(Assumptions!$B$34,I72:AB72)</f>
        <v>-12.433155344877925</v>
      </c>
      <c r="H72" s="105">
        <f>H$38+IF(H$35=0,0,($C72*$D72*H$35)-H$36-MAX(0,($C72*$D72*H$35)-H$36-H$37)*Assumptions!$B$33)</f>
        <v>-60</v>
      </c>
      <c r="I72" s="105">
        <f>I$38+IF(I$35=0,0,($C72*$D72*I$35)-I$36-MAX(0,($C72*$D72*I$35)-I$36-I$37)*Assumptions!$B$33)</f>
        <v>5.2338750000000012</v>
      </c>
      <c r="J72" s="105">
        <f>J$38+IF(J$35=0,0,($C72*$D72*J$35)-J$36-MAX(0,($C72*$D72*J$35)-J$36-J$37)*Assumptions!$B$33)</f>
        <v>5.2862831250000006</v>
      </c>
      <c r="K72" s="105">
        <f>K$38+IF(K$35=0,0,($C72*$D72*K$35)-K$36-MAX(0,($C72*$D72*K$35)-K$36-K$37)*Assumptions!$B$33)</f>
        <v>5.3390993718749993</v>
      </c>
      <c r="L72" s="105">
        <f>L$38+IF(L$35=0,0,($C72*$D72*L$35)-L$36-MAX(0,($C72*$D72*L$35)-L$36-L$37)*Assumptions!$B$33)</f>
        <v>5.3923185224531247</v>
      </c>
      <c r="M72" s="105">
        <f>M$38+IF(M$35=0,0,($C72*$D72*M$35)-M$36-MAX(0,($C72*$D72*M$35)-M$36-M$37)*Assumptions!$B$33)</f>
        <v>5.4459349400899209</v>
      </c>
      <c r="N72" s="105">
        <f>N$38+IF(N$35=0,0,($C72*$D72*N$35)-N$36-MAX(0,($C72*$D72*N$35)-N$36-N$37)*Assumptions!$B$33)</f>
        <v>5.499942553185269</v>
      </c>
      <c r="O72" s="105">
        <f>O$38+IF(O$35=0,0,($C72*$D72*O$35)-O$36-MAX(0,($C72*$D72*O$35)-O$36-O$37)*Assumptions!$B$33)</f>
        <v>5.5543348381468665</v>
      </c>
      <c r="P72" s="105">
        <f>P$38+IF(P$35=0,0,($C72*$D72*P$35)-P$36-MAX(0,($C72*$D72*P$35)-P$36-P$37)*Assumptions!$B$33)</f>
        <v>5.609104801782804</v>
      </c>
      <c r="Q72" s="105">
        <f>Q$38+IF(Q$35=0,0,($C72*$D72*Q$35)-Q$36-MAX(0,($C72*$D72*Q$35)-Q$36-Q$37)*Assumptions!$B$33)</f>
        <v>5.6642449631051921</v>
      </c>
      <c r="R72" s="105">
        <f>R$38+IF(R$35=0,0,($C72*$D72*R$35)-R$36-MAX(0,($C72*$D72*R$35)-R$36-R$37)*Assumptions!$B$33)</f>
        <v>5.7197473345262848</v>
      </c>
      <c r="S72" s="105">
        <f>S$38+IF(S$35=0,0,($C72*$D72*S$35)-S$36-MAX(0,($C72*$D72*S$35)-S$36-S$37)*Assumptions!$B$33)</f>
        <v>5.7756034024279295</v>
      </c>
      <c r="T72" s="105">
        <f>T$38+IF(T$35=0,0,($C72*$D72*T$35)-T$36-MAX(0,($C72*$D72*T$35)-T$36-T$37)*Assumptions!$B$33)</f>
        <v>5.8318041070846114</v>
      </c>
      <c r="U72" s="105">
        <f>U$38+IF(U$35=0,0,($C72*$D72*U$35)-U$36-MAX(0,($C72*$D72*U$35)-U$36-U$37)*Assumptions!$B$33)</f>
        <v>5.8883398219197529</v>
      </c>
      <c r="V72" s="105">
        <f>V$38+IF(V$35=0,0,($C72*$D72*V$35)-V$36-MAX(0,($C72*$D72*V$35)-V$36-V$37)*Assumptions!$B$33)</f>
        <v>5.9452003320742861</v>
      </c>
      <c r="W72" s="105">
        <f>W$38+IF(W$35=0,0,($C72*$D72*W$35)-W$36-MAX(0,($C72*$D72*W$35)-W$36-W$37)*Assumptions!$B$33)</f>
        <v>6.0023748122659093</v>
      </c>
      <c r="X72" s="105">
        <f>X$38+IF(X$35=0,0,($C72*$D72*X$35)-X$36-MAX(0,($C72*$D72*X$35)-X$36-X$37)*Assumptions!$B$33)</f>
        <v>6.0598518039167226</v>
      </c>
      <c r="Y72" s="105">
        <f>Y$38+IF(Y$35=0,0,($C72*$D72*Y$35)-Y$36-MAX(0,($C72*$D72*Y$35)-Y$36-Y$37)*Assumptions!$B$33)</f>
        <v>6.1176191915263027</v>
      </c>
      <c r="Z72" s="105">
        <f>Z$38+IF(Z$35=0,0,($C72*$D72*Z$35)-Z$36-MAX(0,($C72*$D72*Z$35)-Z$36-Z$37)*Assumptions!$B$33)</f>
        <v>6.175664178266552</v>
      </c>
      <c r="AA72" s="105">
        <f>AA$38+IF(AA$35=0,0,($C72*$D72*AA$35)-AA$36-MAX(0,($C72*$D72*AA$35)-AA$36-AA$37)*Assumptions!$B$33)</f>
        <v>6.2339732607739258</v>
      </c>
      <c r="AB72" s="105">
        <f>AB$38+IF(AB$35=0,0,($C72*$D72*AB$35)-AB$36-MAX(0,($C72*$D72*AB$35)-AB$36-AB$37)*Assumptions!$B$33)</f>
        <v>6.2925322031139101</v>
      </c>
    </row>
    <row r="73" spans="1:28" outlineLevel="1" x14ac:dyDescent="0.3">
      <c r="A73" s="100">
        <f t="shared" si="7"/>
        <v>33</v>
      </c>
      <c r="B73" s="101" cm="1">
        <f t="array" ref="B73">INDEX($B$12:$B$18,ROUNDUP((ROW()-40)/7,0))</f>
        <v>0.22500000000000003</v>
      </c>
      <c r="C73" s="102">
        <f>Assumptions!$B$10*$B73</f>
        <v>98.550000000000011</v>
      </c>
      <c r="D73" s="103" cm="1">
        <f t="array" ref="D73">INDEX($C$11:$I$11,MOD(ROW()-41,7)+1)</f>
        <v>8.0000000000000016E-2</v>
      </c>
      <c r="E73" s="101">
        <f t="shared" si="8"/>
        <v>7.765175101104993E-2</v>
      </c>
      <c r="F73" s="104">
        <f>H73+NPV(Assumptions!$B$34,I73:AB73)</f>
        <v>-9.1876197322844462</v>
      </c>
      <c r="H73" s="105">
        <f>H$38+IF(H$35=0,0,($C73*$D73*H$35)-H$36-MAX(0,($C73*$D73*H$35)-H$36-H$37)*Assumptions!$B$33)</f>
        <v>-60</v>
      </c>
      <c r="I73" s="105">
        <f>I$38+IF(I$35=0,0,($C73*$D73*I$35)-I$36-MAX(0,($C73*$D73*I$35)-I$36-I$37)*Assumptions!$B$33)</f>
        <v>5.5788000000000011</v>
      </c>
      <c r="J73" s="105">
        <f>J$38+IF(J$35=0,0,($C73*$D73*J$35)-J$36-MAX(0,($C73*$D73*J$35)-J$36-J$37)*Assumptions!$B$33)</f>
        <v>5.6363820000000011</v>
      </c>
      <c r="K73" s="105">
        <f>K$38+IF(K$35=0,0,($C73*$D73*K$35)-K$36-MAX(0,($C73*$D73*K$35)-K$36-K$37)*Assumptions!$B$33)</f>
        <v>5.6944497300000005</v>
      </c>
      <c r="L73" s="105">
        <f>L$38+IF(L$35=0,0,($C73*$D73*L$35)-L$36-MAX(0,($C73*$D73*L$35)-L$36-L$37)*Assumptions!$B$33)</f>
        <v>5.7529991359499988</v>
      </c>
      <c r="M73" s="105">
        <f>M$38+IF(M$35=0,0,($C73*$D73*M$35)-M$36-MAX(0,($C73*$D73*M$35)-M$36-M$37)*Assumptions!$B$33)</f>
        <v>5.812025762789248</v>
      </c>
      <c r="N73" s="105">
        <f>N$38+IF(N$35=0,0,($C73*$D73*N$35)-N$36-MAX(0,($C73*$D73*N$35)-N$36-N$37)*Assumptions!$B$33)</f>
        <v>5.8715247382250864</v>
      </c>
      <c r="O73" s="105">
        <f>O$38+IF(O$35=0,0,($C73*$D73*O$35)-O$36-MAX(0,($C73*$D73*O$35)-O$36-O$37)*Assumptions!$B$33)</f>
        <v>5.9314907559622814</v>
      </c>
      <c r="P73" s="105">
        <f>P$38+IF(P$35=0,0,($C73*$D73*P$35)-P$36-MAX(0,($C73*$D73*P$35)-P$36-P$37)*Assumptions!$B$33)</f>
        <v>5.9919180583654494</v>
      </c>
      <c r="Q73" s="105">
        <f>Q$38+IF(Q$35=0,0,($C73*$D73*Q$35)-Q$36-MAX(0,($C73*$D73*Q$35)-Q$36-Q$37)*Assumptions!$B$33)</f>
        <v>6.0528004185365774</v>
      </c>
      <c r="R73" s="105">
        <f>R$38+IF(R$35=0,0,($C73*$D73*R$35)-R$36-MAX(0,($C73*$D73*R$35)-R$36-R$37)*Assumptions!$B$33)</f>
        <v>6.114131121789141</v>
      </c>
      <c r="S73" s="105">
        <f>S$38+IF(S$35=0,0,($C73*$D73*S$35)-S$36-MAX(0,($C73*$D73*S$35)-S$36-S$37)*Assumptions!$B$33)</f>
        <v>6.1759029464997299</v>
      </c>
      <c r="T73" s="105">
        <f>T$38+IF(T$35=0,0,($C73*$D73*T$35)-T$36-MAX(0,($C73*$D73*T$35)-T$36-T$37)*Assumptions!$B$33)</f>
        <v>6.2381081443174882</v>
      </c>
      <c r="U73" s="105">
        <f>U$38+IF(U$35=0,0,($C73*$D73*U$35)-U$36-MAX(0,($C73*$D73*U$35)-U$36-U$37)*Assumptions!$B$33)</f>
        <v>6.3007384197111218</v>
      </c>
      <c r="V73" s="105">
        <f>V$38+IF(V$35=0,0,($C73*$D73*V$35)-V$36-MAX(0,($C73*$D73*V$35)-V$36-V$37)*Assumptions!$B$33)</f>
        <v>6.3637849088325265</v>
      </c>
      <c r="W73" s="105">
        <f>W$38+IF(W$35=0,0,($C73*$D73*W$35)-W$36-MAX(0,($C73*$D73*W$35)-W$36-W$37)*Assumptions!$B$33)</f>
        <v>6.4272381576755224</v>
      </c>
      <c r="X73" s="105">
        <f>X$38+IF(X$35=0,0,($C73*$D73*X$35)-X$36-MAX(0,($C73*$D73*X$35)-X$36-X$37)*Assumptions!$B$33)</f>
        <v>6.4910880995074791</v>
      </c>
      <c r="Y73" s="105">
        <f>Y$38+IF(Y$35=0,0,($C73*$D73*Y$35)-Y$36-MAX(0,($C73*$D73*Y$35)-Y$36-Y$37)*Assumptions!$B$33)</f>
        <v>6.5553240315509225</v>
      </c>
      <c r="Z73" s="105">
        <f>Z$38+IF(Z$35=0,0,($C73*$D73*Z$35)-Z$36-MAX(0,($C73*$D73*Z$35)-Z$36-Z$37)*Assumptions!$B$33)</f>
        <v>6.6199345908915408</v>
      </c>
      <c r="AA73" s="105">
        <f>AA$38+IF(AA$35=0,0,($C73*$D73*AA$35)-AA$36-MAX(0,($C73*$D73*AA$35)-AA$36-AA$37)*Assumptions!$B$33)</f>
        <v>6.6849077295882893</v>
      </c>
      <c r="AB73" s="105">
        <f>AB$38+IF(AB$35=0,0,($C73*$D73*AB$35)-AB$36-MAX(0,($C73*$D73*AB$35)-AB$36-AB$37)*Assumptions!$B$33)</f>
        <v>6.7502306889604888</v>
      </c>
    </row>
    <row r="74" spans="1:28" outlineLevel="1" x14ac:dyDescent="0.3">
      <c r="A74" s="100">
        <f t="shared" si="7"/>
        <v>34</v>
      </c>
      <c r="B74" s="101" cm="1">
        <f t="array" ref="B74">INDEX($B$12:$B$18,ROUNDUP((ROW()-40)/7,0))</f>
        <v>0.22500000000000003</v>
      </c>
      <c r="C74" s="102">
        <f>Assumptions!$B$10*$B74</f>
        <v>98.550000000000011</v>
      </c>
      <c r="D74" s="103" cm="1">
        <f t="array" ref="D74">INDEX($C$11:$I$11,MOD(ROW()-41,7)+1)</f>
        <v>8.500000000000002E-2</v>
      </c>
      <c r="E74" s="101">
        <f t="shared" si="8"/>
        <v>8.5743146714429841E-2</v>
      </c>
      <c r="F74" s="104">
        <f>H74+NPV(Assumptions!$B$34,I74:AB74)</f>
        <v>-5.9420841196909606</v>
      </c>
      <c r="H74" s="105">
        <f>H$38+IF(H$35=0,0,($C74*$D74*H$35)-H$36-MAX(0,($C74*$D74*H$35)-H$36-H$37)*Assumptions!$B$33)</f>
        <v>-60</v>
      </c>
      <c r="I74" s="105">
        <f>I$38+IF(I$35=0,0,($C74*$D74*I$35)-I$36-MAX(0,($C74*$D74*I$35)-I$36-I$37)*Assumptions!$B$33)</f>
        <v>5.9237250000000019</v>
      </c>
      <c r="J74" s="105">
        <f>J$38+IF(J$35=0,0,($C74*$D74*J$35)-J$36-MAX(0,($C74*$D74*J$35)-J$36-J$37)*Assumptions!$B$33)</f>
        <v>5.9864808750000016</v>
      </c>
      <c r="K74" s="105">
        <f>K$38+IF(K$35=0,0,($C74*$D74*K$35)-K$36-MAX(0,($C74*$D74*K$35)-K$36-K$37)*Assumptions!$B$33)</f>
        <v>6.049800088125</v>
      </c>
      <c r="L74" s="105">
        <f>L$38+IF(L$35=0,0,($C74*$D74*L$35)-L$36-MAX(0,($C74*$D74*L$35)-L$36-L$37)*Assumptions!$B$33)</f>
        <v>6.1136797494468755</v>
      </c>
      <c r="M74" s="105">
        <f>M$38+IF(M$35=0,0,($C74*$D74*M$35)-M$36-MAX(0,($C74*$D74*M$35)-M$36-M$37)*Assumptions!$B$33)</f>
        <v>6.1781165854885769</v>
      </c>
      <c r="N74" s="105">
        <f>N$38+IF(N$35=0,0,($C74*$D74*N$35)-N$36-MAX(0,($C74*$D74*N$35)-N$36-N$37)*Assumptions!$B$33)</f>
        <v>6.2431069232649055</v>
      </c>
      <c r="O74" s="105">
        <f>O$38+IF(O$35=0,0,($C74*$D74*O$35)-O$36-MAX(0,($C74*$D74*O$35)-O$36-O$37)*Assumptions!$B$33)</f>
        <v>6.3086466737776972</v>
      </c>
      <c r="P74" s="105">
        <f>P$38+IF(P$35=0,0,($C74*$D74*P$35)-P$36-MAX(0,($C74*$D74*P$35)-P$36-P$37)*Assumptions!$B$33)</f>
        <v>6.3747313149480958</v>
      </c>
      <c r="Q74" s="105">
        <f>Q$38+IF(Q$35=0,0,($C74*$D74*Q$35)-Q$36-MAX(0,($C74*$D74*Q$35)-Q$36-Q$37)*Assumptions!$B$33)</f>
        <v>6.4413558739679635</v>
      </c>
      <c r="R74" s="105">
        <f>R$38+IF(R$35=0,0,($C74*$D74*R$35)-R$36-MAX(0,($C74*$D74*R$35)-R$36-R$37)*Assumptions!$B$33)</f>
        <v>6.5085149090519989</v>
      </c>
      <c r="S74" s="105">
        <f>S$38+IF(S$35=0,0,($C74*$D74*S$35)-S$36-MAX(0,($C74*$D74*S$35)-S$36-S$37)*Assumptions!$B$33)</f>
        <v>6.5762024905715286</v>
      </c>
      <c r="T74" s="105">
        <f>T$38+IF(T$35=0,0,($C74*$D74*T$35)-T$36-MAX(0,($C74*$D74*T$35)-T$36-T$37)*Assumptions!$B$33)</f>
        <v>6.6444121815503649</v>
      </c>
      <c r="U74" s="105">
        <f>U$38+IF(U$35=0,0,($C74*$D74*U$35)-U$36-MAX(0,($C74*$D74*U$35)-U$36-U$37)*Assumptions!$B$33)</f>
        <v>6.7131370175024916</v>
      </c>
      <c r="V74" s="105">
        <f>V$38+IF(V$35=0,0,($C74*$D74*V$35)-V$36-MAX(0,($C74*$D74*V$35)-V$36-V$37)*Assumptions!$B$33)</f>
        <v>6.7823694855907668</v>
      </c>
      <c r="W74" s="105">
        <f>W$38+IF(W$35=0,0,($C74*$D74*W$35)-W$36-MAX(0,($C74*$D74*W$35)-W$36-W$37)*Assumptions!$B$33)</f>
        <v>6.8521015030851364</v>
      </c>
      <c r="X74" s="105">
        <f>X$38+IF(X$35=0,0,($C74*$D74*X$35)-X$36-MAX(0,($C74*$D74*X$35)-X$36-X$37)*Assumptions!$B$33)</f>
        <v>6.9223243950982392</v>
      </c>
      <c r="Y74" s="105">
        <f>Y$38+IF(Y$35=0,0,($C74*$D74*Y$35)-Y$36-MAX(0,($C74*$D74*Y$35)-Y$36-Y$37)*Assumptions!$B$33)</f>
        <v>6.9930288715755422</v>
      </c>
      <c r="Z74" s="105">
        <f>Z$38+IF(Z$35=0,0,($C74*$D74*Z$35)-Z$36-MAX(0,($C74*$D74*Z$35)-Z$36-Z$37)*Assumptions!$B$33)</f>
        <v>7.0642050035165287</v>
      </c>
      <c r="AA74" s="105">
        <f>AA$38+IF(AA$35=0,0,($C74*$D74*AA$35)-AA$36-MAX(0,($C74*$D74*AA$35)-AA$36-AA$37)*Assumptions!$B$33)</f>
        <v>7.1358421984026519</v>
      </c>
      <c r="AB74" s="105">
        <f>AB$38+IF(AB$35=0,0,($C74*$D74*AB$35)-AB$36-MAX(0,($C74*$D74*AB$35)-AB$36-AB$37)*Assumptions!$B$33)</f>
        <v>7.2079291748070684</v>
      </c>
    </row>
    <row r="75" spans="1:28" outlineLevel="1" x14ac:dyDescent="0.3">
      <c r="A75" s="100">
        <f t="shared" si="7"/>
        <v>35</v>
      </c>
      <c r="B75" s="101" cm="1">
        <f t="array" ref="B75">INDEX($B$12:$B$18,ROUNDUP((ROW()-40)/7,0))</f>
        <v>0.22500000000000003</v>
      </c>
      <c r="C75" s="102">
        <f>Assumptions!$B$10*$B75</f>
        <v>98.550000000000011</v>
      </c>
      <c r="D75" s="103" cm="1">
        <f t="array" ref="D75">INDEX($C$11:$I$11,MOD(ROW()-41,7)+1)</f>
        <v>9.0000000000000024E-2</v>
      </c>
      <c r="E75" s="101">
        <f t="shared" si="8"/>
        <v>9.3612012621544727E-2</v>
      </c>
      <c r="F75" s="104">
        <f>H75+NPV(Assumptions!$B$34,I75:AB75)</f>
        <v>-2.6965485070974751</v>
      </c>
      <c r="H75" s="105">
        <f>H$38+IF(H$35=0,0,($C75*$D75*H$35)-H$36-MAX(0,($C75*$D75*H$35)-H$36-H$37)*Assumptions!$B$33)</f>
        <v>-60</v>
      </c>
      <c r="I75" s="105">
        <f>I$38+IF(I$35=0,0,($C75*$D75*I$35)-I$36-MAX(0,($C75*$D75*I$35)-I$36-I$37)*Assumptions!$B$33)</f>
        <v>6.2686500000000027</v>
      </c>
      <c r="J75" s="105">
        <f>J$38+IF(J$35=0,0,($C75*$D75*J$35)-J$36-MAX(0,($C75*$D75*J$35)-J$36-J$37)*Assumptions!$B$33)</f>
        <v>6.3365797500000021</v>
      </c>
      <c r="K75" s="105">
        <f>K$38+IF(K$35=0,0,($C75*$D75*K$35)-K$36-MAX(0,($C75*$D75*K$35)-K$36-K$37)*Assumptions!$B$33)</f>
        <v>6.4051504462500004</v>
      </c>
      <c r="L75" s="105">
        <f>L$38+IF(L$35=0,0,($C75*$D75*L$35)-L$36-MAX(0,($C75*$D75*L$35)-L$36-L$37)*Assumptions!$B$33)</f>
        <v>6.4743603629437505</v>
      </c>
      <c r="M75" s="105">
        <f>M$38+IF(M$35=0,0,($C75*$D75*M$35)-M$36-MAX(0,($C75*$D75*M$35)-M$36-M$37)*Assumptions!$B$33)</f>
        <v>6.5442074081879058</v>
      </c>
      <c r="N75" s="105">
        <f>N$38+IF(N$35=0,0,($C75*$D75*N$35)-N$36-MAX(0,($C75*$D75*N$35)-N$36-N$37)*Assumptions!$B$33)</f>
        <v>6.6146891083047237</v>
      </c>
      <c r="O75" s="105">
        <f>O$38+IF(O$35=0,0,($C75*$D75*O$35)-O$36-MAX(0,($C75*$D75*O$35)-O$36-O$37)*Assumptions!$B$33)</f>
        <v>6.6858025915931139</v>
      </c>
      <c r="P75" s="105">
        <f>P$38+IF(P$35=0,0,($C75*$D75*P$35)-P$36-MAX(0,($C75*$D75*P$35)-P$36-P$37)*Assumptions!$B$33)</f>
        <v>6.7575445715307438</v>
      </c>
      <c r="Q75" s="105">
        <f>Q$38+IF(Q$35=0,0,($C75*$D75*Q$35)-Q$36-MAX(0,($C75*$D75*Q$35)-Q$36-Q$37)*Assumptions!$B$33)</f>
        <v>6.8299113293993505</v>
      </c>
      <c r="R75" s="105">
        <f>R$38+IF(R$35=0,0,($C75*$D75*R$35)-R$36-MAX(0,($C75*$D75*R$35)-R$36-R$37)*Assumptions!$B$33)</f>
        <v>6.9028986963148569</v>
      </c>
      <c r="S75" s="105">
        <f>S$38+IF(S$35=0,0,($C75*$D75*S$35)-S$36-MAX(0,($C75*$D75*S$35)-S$36-S$37)*Assumptions!$B$33)</f>
        <v>6.9765020346433291</v>
      </c>
      <c r="T75" s="105">
        <f>T$38+IF(T$35=0,0,($C75*$D75*T$35)-T$36-MAX(0,($C75*$D75*T$35)-T$36-T$37)*Assumptions!$B$33)</f>
        <v>7.0507162187832426</v>
      </c>
      <c r="U75" s="105">
        <f>U$38+IF(U$35=0,0,($C75*$D75*U$35)-U$36-MAX(0,($C75*$D75*U$35)-U$36-U$37)*Assumptions!$B$33)</f>
        <v>7.1255356152938614</v>
      </c>
      <c r="V75" s="105">
        <f>V$38+IF(V$35=0,0,($C75*$D75*V$35)-V$36-MAX(0,($C75*$D75*V$35)-V$36-V$37)*Assumptions!$B$33)</f>
        <v>7.200954062349008</v>
      </c>
      <c r="W75" s="105">
        <f>W$38+IF(W$35=0,0,($C75*$D75*W$35)-W$36-MAX(0,($C75*$D75*W$35)-W$36-W$37)*Assumptions!$B$33)</f>
        <v>7.2769648484947504</v>
      </c>
      <c r="X75" s="105">
        <f>X$38+IF(X$35=0,0,($C75*$D75*X$35)-X$36-MAX(0,($C75*$D75*X$35)-X$36-X$37)*Assumptions!$B$33)</f>
        <v>7.3535606906889956</v>
      </c>
      <c r="Y75" s="105">
        <f>Y$38+IF(Y$35=0,0,($C75*$D75*Y$35)-Y$36-MAX(0,($C75*$D75*Y$35)-Y$36-Y$37)*Assumptions!$B$33)</f>
        <v>7.4307337116001602</v>
      </c>
      <c r="Z75" s="105">
        <f>Z$38+IF(Z$35=0,0,($C75*$D75*Z$35)-Z$36-MAX(0,($C75*$D75*Z$35)-Z$36-Z$37)*Assumptions!$B$33)</f>
        <v>7.5084754161415184</v>
      </c>
      <c r="AA75" s="105">
        <f>AA$38+IF(AA$35=0,0,($C75*$D75*AA$35)-AA$36-MAX(0,($C75*$D75*AA$35)-AA$36-AA$37)*Assumptions!$B$33)</f>
        <v>7.5867766672170163</v>
      </c>
      <c r="AB75" s="105">
        <f>AB$38+IF(AB$35=0,0,($C75*$D75*AB$35)-AB$36-MAX(0,($C75*$D75*AB$35)-AB$36-AB$37)*Assumptions!$B$33)</f>
        <v>7.6656276606536462</v>
      </c>
    </row>
    <row r="76" spans="1:28" outlineLevel="1" x14ac:dyDescent="0.3">
      <c r="A76" s="100">
        <f t="shared" si="7"/>
        <v>36</v>
      </c>
      <c r="B76" s="101" cm="1">
        <f t="array" ref="B76">INDEX($B$12:$B$18,ROUNDUP((ROW()-40)/7,0))</f>
        <v>0.24000000000000005</v>
      </c>
      <c r="C76" s="102">
        <f>Assumptions!$B$10*$B76</f>
        <v>105.12000000000002</v>
      </c>
      <c r="D76" s="103" cm="1">
        <f t="array" ref="D76">INDEX($C$11:$I$11,MOD(ROW()-41,7)+1)</f>
        <v>0.06</v>
      </c>
      <c r="E76" s="101">
        <f t="shared" si="8"/>
        <v>4.9841645310515048E-2</v>
      </c>
      <c r="F76" s="104">
        <f>H76+NPV(Assumptions!$B$34,I76:AB76)</f>
        <v>-19.57333369258361</v>
      </c>
      <c r="H76" s="105">
        <f>H$38+IF(H$35=0,0,($C76*$D76*H$35)-H$36-MAX(0,($C76*$D76*H$35)-H$36-H$37)*Assumptions!$B$33)</f>
        <v>-60</v>
      </c>
      <c r="I76" s="105">
        <f>I$38+IF(I$35=0,0,($C76*$D76*I$35)-I$36-MAX(0,($C76*$D76*I$35)-I$36-I$37)*Assumptions!$B$33)</f>
        <v>4.4750400000000008</v>
      </c>
      <c r="J76" s="105">
        <f>J$38+IF(J$35=0,0,($C76*$D76*J$35)-J$36-MAX(0,($C76*$D76*J$35)-J$36-J$37)*Assumptions!$B$33)</f>
        <v>4.5160656000000001</v>
      </c>
      <c r="K76" s="105">
        <f>K$38+IF(K$35=0,0,($C76*$D76*K$35)-K$36-MAX(0,($C76*$D76*K$35)-K$36-K$37)*Assumptions!$B$33)</f>
        <v>4.5573285839999995</v>
      </c>
      <c r="L76" s="105">
        <f>L$38+IF(L$35=0,0,($C76*$D76*L$35)-L$36-MAX(0,($C76*$D76*L$35)-L$36-L$37)*Assumptions!$B$33)</f>
        <v>4.5988211727599992</v>
      </c>
      <c r="M76" s="105">
        <f>M$38+IF(M$35=0,0,($C76*$D76*M$35)-M$36-MAX(0,($C76*$D76*M$35)-M$36-M$37)*Assumptions!$B$33)</f>
        <v>4.640535130151398</v>
      </c>
      <c r="N76" s="105">
        <f>N$38+IF(N$35=0,0,($C76*$D76*N$35)-N$36-MAX(0,($C76*$D76*N$35)-N$36-N$37)*Assumptions!$B$33)</f>
        <v>4.6824617460976681</v>
      </c>
      <c r="O76" s="105">
        <f>O$38+IF(O$35=0,0,($C76*$D76*O$35)-O$36-MAX(0,($C76*$D76*O$35)-O$36-O$37)*Assumptions!$B$33)</f>
        <v>4.7245918189529519</v>
      </c>
      <c r="P76" s="105">
        <f>P$38+IF(P$35=0,0,($C76*$D76*P$35)-P$36-MAX(0,($C76*$D76*P$35)-P$36-P$37)*Assumptions!$B$33)</f>
        <v>4.7669156373009809</v>
      </c>
      <c r="Q76" s="105">
        <f>Q$38+IF(Q$35=0,0,($C76*$D76*Q$35)-Q$36-MAX(0,($C76*$D76*Q$35)-Q$36-Q$37)*Assumptions!$B$33)</f>
        <v>4.8094229611561419</v>
      </c>
      <c r="R76" s="105">
        <f>R$38+IF(R$35=0,0,($C76*$D76*R$35)-R$36-MAX(0,($C76*$D76*R$35)-R$36-R$37)*Assumptions!$B$33)</f>
        <v>4.8521030025479996</v>
      </c>
      <c r="S76" s="105">
        <f>S$38+IF(S$35=0,0,($C76*$D76*S$35)-S$36-MAX(0,($C76*$D76*S$35)-S$36-S$37)*Assumptions!$B$33)</f>
        <v>4.8949444054699702</v>
      </c>
      <c r="T76" s="105">
        <f>T$38+IF(T$35=0,0,($C76*$D76*T$35)-T$36-MAX(0,($C76*$D76*T$35)-T$36-T$37)*Assumptions!$B$33)</f>
        <v>4.9379352251722839</v>
      </c>
      <c r="U76" s="105">
        <f>U$38+IF(U$35=0,0,($C76*$D76*U$35)-U$36-MAX(0,($C76*$D76*U$35)-U$36-U$37)*Assumptions!$B$33)</f>
        <v>4.9810629067787389</v>
      </c>
      <c r="V76" s="105">
        <f>V$38+IF(V$35=0,0,($C76*$D76*V$35)-V$36-MAX(0,($C76*$D76*V$35)-V$36-V$37)*Assumptions!$B$33)</f>
        <v>5.0243142632061577</v>
      </c>
      <c r="W76" s="105">
        <f>W$38+IF(W$35=0,0,($C76*$D76*W$35)-W$36-MAX(0,($C76*$D76*W$35)-W$36-W$37)*Assumptions!$B$33)</f>
        <v>5.0676754523647585</v>
      </c>
      <c r="X76" s="105">
        <f>X$38+IF(X$35=0,0,($C76*$D76*X$35)-X$36-MAX(0,($C76*$D76*X$35)-X$36-X$37)*Assumptions!$B$33)</f>
        <v>5.111131953617055</v>
      </c>
      <c r="Y76" s="105">
        <f>Y$38+IF(Y$35=0,0,($C76*$D76*Y$35)-Y$36-MAX(0,($C76*$D76*Y$35)-Y$36-Y$37)*Assumptions!$B$33)</f>
        <v>5.1546685434721402</v>
      </c>
      <c r="Z76" s="105">
        <f>Z$38+IF(Z$35=0,0,($C76*$D76*Z$35)-Z$36-MAX(0,($C76*$D76*Z$35)-Z$36-Z$37)*Assumptions!$B$33)</f>
        <v>5.1982692704915765</v>
      </c>
      <c r="AA76" s="105">
        <f>AA$38+IF(AA$35=0,0,($C76*$D76*AA$35)-AA$36-MAX(0,($C76*$D76*AA$35)-AA$36-AA$37)*Assumptions!$B$33)</f>
        <v>5.2419174293823261</v>
      </c>
      <c r="AB76" s="105">
        <f>AB$38+IF(AB$35=0,0,($C76*$D76*AB$35)-AB$36-MAX(0,($C76*$D76*AB$35)-AB$36-AB$37)*Assumptions!$B$33)</f>
        <v>5.2855955342514376</v>
      </c>
    </row>
    <row r="77" spans="1:28" outlineLevel="1" x14ac:dyDescent="0.3">
      <c r="A77" s="100">
        <f t="shared" si="7"/>
        <v>37</v>
      </c>
      <c r="B77" s="101" cm="1">
        <f t="array" ref="B77">INDEX($B$12:$B$18,ROUNDUP((ROW()-40)/7,0))</f>
        <v>0.24000000000000005</v>
      </c>
      <c r="C77" s="102">
        <f>Assumptions!$B$10*$B77</f>
        <v>105.12000000000002</v>
      </c>
      <c r="D77" s="103" cm="1">
        <f t="array" ref="D77">INDEX($C$11:$I$11,MOD(ROW()-41,7)+1)</f>
        <v>6.5000000000000002E-2</v>
      </c>
      <c r="E77" s="101">
        <f t="shared" si="8"/>
        <v>5.948910563283949E-2</v>
      </c>
      <c r="F77" s="104">
        <f>H77+NPV(Assumptions!$B$34,I77:AB77)</f>
        <v>-16.111429039150551</v>
      </c>
      <c r="H77" s="105">
        <f>H$38+IF(H$35=0,0,($C77*$D77*H$35)-H$36-MAX(0,($C77*$D77*H$35)-H$36-H$37)*Assumptions!$B$33)</f>
        <v>-60</v>
      </c>
      <c r="I77" s="105">
        <f>I$38+IF(I$35=0,0,($C77*$D77*I$35)-I$36-MAX(0,($C77*$D77*I$35)-I$36-I$37)*Assumptions!$B$33)</f>
        <v>4.8429600000000006</v>
      </c>
      <c r="J77" s="105">
        <f>J$38+IF(J$35=0,0,($C77*$D77*J$35)-J$36-MAX(0,($C77*$D77*J$35)-J$36-J$37)*Assumptions!$B$33)</f>
        <v>4.8895044000000008</v>
      </c>
      <c r="K77" s="105">
        <f>K$38+IF(K$35=0,0,($C77*$D77*K$35)-K$36-MAX(0,($C77*$D77*K$35)-K$36-K$37)*Assumptions!$B$33)</f>
        <v>4.9363689659999999</v>
      </c>
      <c r="L77" s="105">
        <f>L$38+IF(L$35=0,0,($C77*$D77*L$35)-L$36-MAX(0,($C77*$D77*L$35)-L$36-L$37)*Assumptions!$B$33)</f>
        <v>4.9835471604899997</v>
      </c>
      <c r="M77" s="105">
        <f>M$38+IF(M$35=0,0,($C77*$D77*M$35)-M$36-MAX(0,($C77*$D77*M$35)-M$36-M$37)*Assumptions!$B$33)</f>
        <v>5.0310320076973492</v>
      </c>
      <c r="N77" s="105">
        <f>N$38+IF(N$35=0,0,($C77*$D77*N$35)-N$36-MAX(0,($C77*$D77*N$35)-N$36-N$37)*Assumptions!$B$33)</f>
        <v>5.0788160768068078</v>
      </c>
      <c r="O77" s="105">
        <f>O$38+IF(O$35=0,0,($C77*$D77*O$35)-O$36-MAX(0,($C77*$D77*O$35)-O$36-O$37)*Assumptions!$B$33)</f>
        <v>5.1268914646227293</v>
      </c>
      <c r="P77" s="105">
        <f>P$38+IF(P$35=0,0,($C77*$D77*P$35)-P$36-MAX(0,($C77*$D77*P$35)-P$36-P$37)*Assumptions!$B$33)</f>
        <v>5.1752497776558037</v>
      </c>
      <c r="Q77" s="105">
        <f>Q$38+IF(Q$35=0,0,($C77*$D77*Q$35)-Q$36-MAX(0,($C77*$D77*Q$35)-Q$36-Q$37)*Assumptions!$B$33)</f>
        <v>5.2238821136162876</v>
      </c>
      <c r="R77" s="105">
        <f>R$38+IF(R$35=0,0,($C77*$D77*R$35)-R$36-MAX(0,($C77*$D77*R$35)-R$36-R$37)*Assumptions!$B$33)</f>
        <v>5.2727790422950473</v>
      </c>
      <c r="S77" s="105">
        <f>S$38+IF(S$35=0,0,($C77*$D77*S$35)-S$36-MAX(0,($C77*$D77*S$35)-S$36-S$37)*Assumptions!$B$33)</f>
        <v>5.3219305858132238</v>
      </c>
      <c r="T77" s="105">
        <f>T$38+IF(T$35=0,0,($C77*$D77*T$35)-T$36-MAX(0,($C77*$D77*T$35)-T$36-T$37)*Assumptions!$B$33)</f>
        <v>5.371326198220685</v>
      </c>
      <c r="U77" s="105">
        <f>U$38+IF(U$35=0,0,($C77*$D77*U$35)-U$36-MAX(0,($C77*$D77*U$35)-U$36-U$37)*Assumptions!$B$33)</f>
        <v>5.4209547444228665</v>
      </c>
      <c r="V77" s="105">
        <f>V$38+IF(V$35=0,0,($C77*$D77*V$35)-V$36-MAX(0,($C77*$D77*V$35)-V$36-V$37)*Assumptions!$B$33)</f>
        <v>5.4708044784149479</v>
      </c>
      <c r="W77" s="105">
        <f>W$38+IF(W$35=0,0,($C77*$D77*W$35)-W$36-MAX(0,($C77*$D77*W$35)-W$36-W$37)*Assumptions!$B$33)</f>
        <v>5.5208630208016807</v>
      </c>
      <c r="X77" s="105">
        <f>X$38+IF(X$35=0,0,($C77*$D77*X$35)-X$36-MAX(0,($C77*$D77*X$35)-X$36-X$37)*Assumptions!$B$33)</f>
        <v>5.5711173355805297</v>
      </c>
      <c r="Y77" s="105">
        <f>Y$38+IF(Y$35=0,0,($C77*$D77*Y$35)-Y$36-MAX(0,($C77*$D77*Y$35)-Y$36-Y$37)*Assumptions!$B$33)</f>
        <v>5.6215537061650673</v>
      </c>
      <c r="Z77" s="105">
        <f>Z$38+IF(Z$35=0,0,($C77*$D77*Z$35)-Z$36-MAX(0,($C77*$D77*Z$35)-Z$36-Z$37)*Assumptions!$B$33)</f>
        <v>5.6721577106248988</v>
      </c>
      <c r="AA77" s="105">
        <f>AA$38+IF(AA$35=0,0,($C77*$D77*AA$35)-AA$36-MAX(0,($C77*$D77*AA$35)-AA$36-AA$37)*Assumptions!$B$33)</f>
        <v>5.7229141961176468</v>
      </c>
      <c r="AB77" s="105">
        <f>AB$38+IF(AB$35=0,0,($C77*$D77*AB$35)-AB$36-MAX(0,($C77*$D77*AB$35)-AB$36-AB$37)*Assumptions!$B$33)</f>
        <v>5.7738072524877886</v>
      </c>
    </row>
    <row r="78" spans="1:28" outlineLevel="1" x14ac:dyDescent="0.3">
      <c r="A78" s="100">
        <f t="shared" si="7"/>
        <v>38</v>
      </c>
      <c r="B78" s="101" cm="1">
        <f t="array" ref="B78">INDEX($B$12:$B$18,ROUNDUP((ROW()-40)/7,0))</f>
        <v>0.24000000000000005</v>
      </c>
      <c r="C78" s="102">
        <f>Assumptions!$B$10*$B78</f>
        <v>105.12000000000002</v>
      </c>
      <c r="D78" s="103" cm="1">
        <f t="array" ref="D78">INDEX($C$11:$I$11,MOD(ROW()-41,7)+1)</f>
        <v>7.0000000000000007E-2</v>
      </c>
      <c r="E78" s="101">
        <f t="shared" si="8"/>
        <v>6.8739260720334761E-2</v>
      </c>
      <c r="F78" s="104">
        <f>H78+NPV(Assumptions!$B$34,I78:AB78)</f>
        <v>-12.649524385717484</v>
      </c>
      <c r="H78" s="105">
        <f>H$38+IF(H$35=0,0,($C78*$D78*H$35)-H$36-MAX(0,($C78*$D78*H$35)-H$36-H$37)*Assumptions!$B$33)</f>
        <v>-60</v>
      </c>
      <c r="I78" s="105">
        <f>I$38+IF(I$35=0,0,($C78*$D78*I$35)-I$36-MAX(0,($C78*$D78*I$35)-I$36-I$37)*Assumptions!$B$33)</f>
        <v>5.2108800000000013</v>
      </c>
      <c r="J78" s="105">
        <f>J$38+IF(J$35=0,0,($C78*$D78*J$35)-J$36-MAX(0,($C78*$D78*J$35)-J$36-J$37)*Assumptions!$B$33)</f>
        <v>5.2629432000000014</v>
      </c>
      <c r="K78" s="105">
        <f>K$38+IF(K$35=0,0,($C78*$D78*K$35)-K$36-MAX(0,($C78*$D78*K$35)-K$36-K$37)*Assumptions!$B$33)</f>
        <v>5.3154093480000002</v>
      </c>
      <c r="L78" s="105">
        <f>L$38+IF(L$35=0,0,($C78*$D78*L$35)-L$36-MAX(0,($C78*$D78*L$35)-L$36-L$37)*Assumptions!$B$33)</f>
        <v>5.3682731482199992</v>
      </c>
      <c r="M78" s="105">
        <f>M$38+IF(M$35=0,0,($C78*$D78*M$35)-M$36-MAX(0,($C78*$D78*M$35)-M$36-M$37)*Assumptions!$B$33)</f>
        <v>5.4215288852432986</v>
      </c>
      <c r="N78" s="105">
        <f>N$38+IF(N$35=0,0,($C78*$D78*N$35)-N$36-MAX(0,($C78*$D78*N$35)-N$36-N$37)*Assumptions!$B$33)</f>
        <v>5.4751704075159475</v>
      </c>
      <c r="O78" s="105">
        <f>O$38+IF(O$35=0,0,($C78*$D78*O$35)-O$36-MAX(0,($C78*$D78*O$35)-O$36-O$37)*Assumptions!$B$33)</f>
        <v>5.5291911102925058</v>
      </c>
      <c r="P78" s="105">
        <f>P$38+IF(P$35=0,0,($C78*$D78*P$35)-P$36-MAX(0,($C78*$D78*P$35)-P$36-P$37)*Assumptions!$B$33)</f>
        <v>5.5835839180106266</v>
      </c>
      <c r="Q78" s="105">
        <f>Q$38+IF(Q$35=0,0,($C78*$D78*Q$35)-Q$36-MAX(0,($C78*$D78*Q$35)-Q$36-Q$37)*Assumptions!$B$33)</f>
        <v>5.6383412660764334</v>
      </c>
      <c r="R78" s="105">
        <f>R$38+IF(R$35=0,0,($C78*$D78*R$35)-R$36-MAX(0,($C78*$D78*R$35)-R$36-R$37)*Assumptions!$B$33)</f>
        <v>5.6934550820420942</v>
      </c>
      <c r="S78" s="105">
        <f>S$38+IF(S$35=0,0,($C78*$D78*S$35)-S$36-MAX(0,($C78*$D78*S$35)-S$36-S$37)*Assumptions!$B$33)</f>
        <v>5.7489167661564773</v>
      </c>
      <c r="T78" s="105">
        <f>T$38+IF(T$35=0,0,($C78*$D78*T$35)-T$36-MAX(0,($C78*$D78*T$35)-T$36-T$37)*Assumptions!$B$33)</f>
        <v>5.8047171712690862</v>
      </c>
      <c r="U78" s="105">
        <f>U$38+IF(U$35=0,0,($C78*$D78*U$35)-U$36-MAX(0,($C78*$D78*U$35)-U$36-U$37)*Assumptions!$B$33)</f>
        <v>5.860846582066995</v>
      </c>
      <c r="V78" s="105">
        <f>V$38+IF(V$35=0,0,($C78*$D78*V$35)-V$36-MAX(0,($C78*$D78*V$35)-V$36-V$37)*Assumptions!$B$33)</f>
        <v>5.9172946936237381</v>
      </c>
      <c r="W78" s="105">
        <f>W$38+IF(W$35=0,0,($C78*$D78*W$35)-W$36-MAX(0,($C78*$D78*W$35)-W$36-W$37)*Assumptions!$B$33)</f>
        <v>5.9740505892386011</v>
      </c>
      <c r="X78" s="105">
        <f>X$38+IF(X$35=0,0,($C78*$D78*X$35)-X$36-MAX(0,($C78*$D78*X$35)-X$36-X$37)*Assumptions!$B$33)</f>
        <v>6.0311027175440053</v>
      </c>
      <c r="Y78" s="105">
        <f>Y$38+IF(Y$35=0,0,($C78*$D78*Y$35)-Y$36-MAX(0,($C78*$D78*Y$35)-Y$36-Y$37)*Assumptions!$B$33)</f>
        <v>6.0884388688579953</v>
      </c>
      <c r="Z78" s="105">
        <f>Z$38+IF(Z$35=0,0,($C78*$D78*Z$35)-Z$36-MAX(0,($C78*$D78*Z$35)-Z$36-Z$37)*Assumptions!$B$33)</f>
        <v>6.1460461507582194</v>
      </c>
      <c r="AA78" s="105">
        <f>AA$38+IF(AA$35=0,0,($C78*$D78*AA$35)-AA$36-MAX(0,($C78*$D78*AA$35)-AA$36-AA$37)*Assumptions!$B$33)</f>
        <v>6.2039109628529685</v>
      </c>
      <c r="AB78" s="105">
        <f>AB$38+IF(AB$35=0,0,($C78*$D78*AB$35)-AB$36-MAX(0,($C78*$D78*AB$35)-AB$36-AB$37)*Assumptions!$B$33)</f>
        <v>6.2620189707241396</v>
      </c>
    </row>
    <row r="79" spans="1:28" outlineLevel="1" x14ac:dyDescent="0.3">
      <c r="A79" s="100">
        <f t="shared" si="7"/>
        <v>39</v>
      </c>
      <c r="B79" s="101" cm="1">
        <f t="array" ref="B79">INDEX($B$12:$B$18,ROUNDUP((ROW()-40)/7,0))</f>
        <v>0.24000000000000005</v>
      </c>
      <c r="C79" s="102">
        <f>Assumptions!$B$10*$B79</f>
        <v>105.12000000000002</v>
      </c>
      <c r="D79" s="103" cm="1">
        <f t="array" ref="D79">INDEX($C$11:$I$11,MOD(ROW()-41,7)+1)</f>
        <v>7.5000000000000011E-2</v>
      </c>
      <c r="E79" s="101">
        <f t="shared" si="8"/>
        <v>7.765175101104993E-2</v>
      </c>
      <c r="F79" s="104">
        <f>H79+NPV(Assumptions!$B$34,I79:AB79)</f>
        <v>-9.1876197322844391</v>
      </c>
      <c r="H79" s="105">
        <f>H$38+IF(H$35=0,0,($C79*$D79*H$35)-H$36-MAX(0,($C79*$D79*H$35)-H$36-H$37)*Assumptions!$B$33)</f>
        <v>-60</v>
      </c>
      <c r="I79" s="105">
        <f>I$38+IF(I$35=0,0,($C79*$D79*I$35)-I$36-MAX(0,($C79*$D79*I$35)-I$36-I$37)*Assumptions!$B$33)</f>
        <v>5.578800000000002</v>
      </c>
      <c r="J79" s="105">
        <f>J$38+IF(J$35=0,0,($C79*$D79*J$35)-J$36-MAX(0,($C79*$D79*J$35)-J$36-J$37)*Assumptions!$B$33)</f>
        <v>5.6363820000000011</v>
      </c>
      <c r="K79" s="105">
        <f>K$38+IF(K$35=0,0,($C79*$D79*K$35)-K$36-MAX(0,($C79*$D79*K$35)-K$36-K$37)*Assumptions!$B$33)</f>
        <v>5.6944497300000005</v>
      </c>
      <c r="L79" s="105">
        <f>L$38+IF(L$35=0,0,($C79*$D79*L$35)-L$36-MAX(0,($C79*$D79*L$35)-L$36-L$37)*Assumptions!$B$33)</f>
        <v>5.7529991359500006</v>
      </c>
      <c r="M79" s="105">
        <f>M$38+IF(M$35=0,0,($C79*$D79*M$35)-M$36-MAX(0,($C79*$D79*M$35)-M$36-M$37)*Assumptions!$B$33)</f>
        <v>5.8120257627892489</v>
      </c>
      <c r="N79" s="105">
        <f>N$38+IF(N$35=0,0,($C79*$D79*N$35)-N$36-MAX(0,($C79*$D79*N$35)-N$36-N$37)*Assumptions!$B$33)</f>
        <v>5.8715247382250872</v>
      </c>
      <c r="O79" s="105">
        <f>O$38+IF(O$35=0,0,($C79*$D79*O$35)-O$36-MAX(0,($C79*$D79*O$35)-O$36-O$37)*Assumptions!$B$33)</f>
        <v>5.9314907559622831</v>
      </c>
      <c r="P79" s="105">
        <f>P$38+IF(P$35=0,0,($C79*$D79*P$35)-P$36-MAX(0,($C79*$D79*P$35)-P$36-P$37)*Assumptions!$B$33)</f>
        <v>5.9919180583654494</v>
      </c>
      <c r="Q79" s="105">
        <f>Q$38+IF(Q$35=0,0,($C79*$D79*Q$35)-Q$36-MAX(0,($C79*$D79*Q$35)-Q$36-Q$37)*Assumptions!$B$33)</f>
        <v>6.0528004185365774</v>
      </c>
      <c r="R79" s="105">
        <f>R$38+IF(R$35=0,0,($C79*$D79*R$35)-R$36-MAX(0,($C79*$D79*R$35)-R$36-R$37)*Assumptions!$B$33)</f>
        <v>6.1141311217891428</v>
      </c>
      <c r="S79" s="105">
        <f>S$38+IF(S$35=0,0,($C79*$D79*S$35)-S$36-MAX(0,($C79*$D79*S$35)-S$36-S$37)*Assumptions!$B$33)</f>
        <v>6.1759029464997299</v>
      </c>
      <c r="T79" s="105">
        <f>T$38+IF(T$35=0,0,($C79*$D79*T$35)-T$36-MAX(0,($C79*$D79*T$35)-T$36-T$37)*Assumptions!$B$33)</f>
        <v>6.2381081443174891</v>
      </c>
      <c r="U79" s="105">
        <f>U$38+IF(U$35=0,0,($C79*$D79*U$35)-U$36-MAX(0,($C79*$D79*U$35)-U$36-U$37)*Assumptions!$B$33)</f>
        <v>6.3007384197111218</v>
      </c>
      <c r="V79" s="105">
        <f>V$38+IF(V$35=0,0,($C79*$D79*V$35)-V$36-MAX(0,($C79*$D79*V$35)-V$36-V$37)*Assumptions!$B$33)</f>
        <v>6.3637849088325265</v>
      </c>
      <c r="W79" s="105">
        <f>W$38+IF(W$35=0,0,($C79*$D79*W$35)-W$36-MAX(0,($C79*$D79*W$35)-W$36-W$37)*Assumptions!$B$33)</f>
        <v>6.4272381576755233</v>
      </c>
      <c r="X79" s="105">
        <f>X$38+IF(X$35=0,0,($C79*$D79*X$35)-X$36-MAX(0,($C79*$D79*X$35)-X$36-X$37)*Assumptions!$B$33)</f>
        <v>6.4910880995074809</v>
      </c>
      <c r="Y79" s="105">
        <f>Y$38+IF(Y$35=0,0,($C79*$D79*Y$35)-Y$36-MAX(0,($C79*$D79*Y$35)-Y$36-Y$37)*Assumptions!$B$33)</f>
        <v>6.5553240315509225</v>
      </c>
      <c r="Z79" s="105">
        <f>Z$38+IF(Z$35=0,0,($C79*$D79*Z$35)-Z$36-MAX(0,($C79*$D79*Z$35)-Z$36-Z$37)*Assumptions!$B$33)</f>
        <v>6.6199345908915408</v>
      </c>
      <c r="AA79" s="105">
        <f>AA$38+IF(AA$35=0,0,($C79*$D79*AA$35)-AA$36-MAX(0,($C79*$D79*AA$35)-AA$36-AA$37)*Assumptions!$B$33)</f>
        <v>6.6849077295882893</v>
      </c>
      <c r="AB79" s="105">
        <f>AB$38+IF(AB$35=0,0,($C79*$D79*AB$35)-AB$36-MAX(0,($C79*$D79*AB$35)-AB$36-AB$37)*Assumptions!$B$33)</f>
        <v>6.7502306889604897</v>
      </c>
    </row>
    <row r="80" spans="1:28" outlineLevel="1" x14ac:dyDescent="0.3">
      <c r="A80" s="100">
        <f t="shared" si="7"/>
        <v>40</v>
      </c>
      <c r="B80" s="101" cm="1">
        <f t="array" ref="B80">INDEX($B$12:$B$18,ROUNDUP((ROW()-40)/7,0))</f>
        <v>0.24000000000000005</v>
      </c>
      <c r="C80" s="102">
        <f>Assumptions!$B$10*$B80</f>
        <v>105.12000000000002</v>
      </c>
      <c r="D80" s="103" cm="1">
        <f t="array" ref="D80">INDEX($C$11:$I$11,MOD(ROW()-41,7)+1)</f>
        <v>8.0000000000000016E-2</v>
      </c>
      <c r="E80" s="101">
        <f t="shared" si="8"/>
        <v>8.6274338224927138E-2</v>
      </c>
      <c r="F80" s="104">
        <f>H80+NPV(Assumptions!$B$34,I80:AB80)</f>
        <v>-5.7257150788514011</v>
      </c>
      <c r="H80" s="105">
        <f>H$38+IF(H$35=0,0,($C80*$D80*H$35)-H$36-MAX(0,($C80*$D80*H$35)-H$36-H$37)*Assumptions!$B$33)</f>
        <v>-60</v>
      </c>
      <c r="I80" s="105">
        <f>I$38+IF(I$35=0,0,($C80*$D80*I$35)-I$36-MAX(0,($C80*$D80*I$35)-I$36-I$37)*Assumptions!$B$33)</f>
        <v>5.9467200000000018</v>
      </c>
      <c r="J80" s="105">
        <f>J$38+IF(J$35=0,0,($C80*$D80*J$35)-J$36-MAX(0,($C80*$D80*J$35)-J$36-J$37)*Assumptions!$B$33)</f>
        <v>6.0098208000000017</v>
      </c>
      <c r="K80" s="105">
        <f>K$38+IF(K$35=0,0,($C80*$D80*K$35)-K$36-MAX(0,($C80*$D80*K$35)-K$36-K$37)*Assumptions!$B$33)</f>
        <v>6.073490112</v>
      </c>
      <c r="L80" s="105">
        <f>L$38+IF(L$35=0,0,($C80*$D80*L$35)-L$36-MAX(0,($C80*$D80*L$35)-L$36-L$37)*Assumptions!$B$33)</f>
        <v>6.1377251236799992</v>
      </c>
      <c r="M80" s="105">
        <f>M$38+IF(M$35=0,0,($C80*$D80*M$35)-M$36-MAX(0,($C80*$D80*M$35)-M$36-M$37)*Assumptions!$B$33)</f>
        <v>6.2025226403351992</v>
      </c>
      <c r="N80" s="105">
        <f>N$38+IF(N$35=0,0,($C80*$D80*N$35)-N$36-MAX(0,($C80*$D80*N$35)-N$36-N$37)*Assumptions!$B$33)</f>
        <v>6.2678790689342261</v>
      </c>
      <c r="O80" s="105">
        <f>O$38+IF(O$35=0,0,($C80*$D80*O$35)-O$36-MAX(0,($C80*$D80*O$35)-O$36-O$37)*Assumptions!$B$33)</f>
        <v>6.3337904016320579</v>
      </c>
      <c r="P80" s="105">
        <f>P$38+IF(P$35=0,0,($C80*$D80*P$35)-P$36-MAX(0,($C80*$D80*P$35)-P$36-P$37)*Assumptions!$B$33)</f>
        <v>6.4002521987202732</v>
      </c>
      <c r="Q80" s="105">
        <f>Q$38+IF(Q$35=0,0,($C80*$D80*Q$35)-Q$36-MAX(0,($C80*$D80*Q$35)-Q$36-Q$37)*Assumptions!$B$33)</f>
        <v>6.467259570996724</v>
      </c>
      <c r="R80" s="105">
        <f>R$38+IF(R$35=0,0,($C80*$D80*R$35)-R$36-MAX(0,($C80*$D80*R$35)-R$36-R$37)*Assumptions!$B$33)</f>
        <v>6.5348071615361887</v>
      </c>
      <c r="S80" s="105">
        <f>S$38+IF(S$35=0,0,($C80*$D80*S$35)-S$36-MAX(0,($C80*$D80*S$35)-S$36-S$37)*Assumptions!$B$33)</f>
        <v>6.6028891268429826</v>
      </c>
      <c r="T80" s="105">
        <f>T$38+IF(T$35=0,0,($C80*$D80*T$35)-T$36-MAX(0,($C80*$D80*T$35)-T$36-T$37)*Assumptions!$B$33)</f>
        <v>6.6714991173658902</v>
      </c>
      <c r="U80" s="105">
        <f>U$38+IF(U$35=0,0,($C80*$D80*U$35)-U$36-MAX(0,($C80*$D80*U$35)-U$36-U$37)*Assumptions!$B$33)</f>
        <v>6.7406302573552495</v>
      </c>
      <c r="V80" s="105">
        <f>V$38+IF(V$35=0,0,($C80*$D80*V$35)-V$36-MAX(0,($C80*$D80*V$35)-V$36-V$37)*Assumptions!$B$33)</f>
        <v>6.8102751240413166</v>
      </c>
      <c r="W80" s="105">
        <f>W$38+IF(W$35=0,0,($C80*$D80*W$35)-W$36-MAX(0,($C80*$D80*W$35)-W$36-W$37)*Assumptions!$B$33)</f>
        <v>6.8804257261124437</v>
      </c>
      <c r="X80" s="105">
        <f>X$38+IF(X$35=0,0,($C80*$D80*X$35)-X$36-MAX(0,($C80*$D80*X$35)-X$36-X$37)*Assumptions!$B$33)</f>
        <v>6.9510734814709556</v>
      </c>
      <c r="Y80" s="105">
        <f>Y$38+IF(Y$35=0,0,($C80*$D80*Y$35)-Y$36-MAX(0,($C80*$D80*Y$35)-Y$36-Y$37)*Assumptions!$B$33)</f>
        <v>7.0222091942438496</v>
      </c>
      <c r="Z80" s="105">
        <f>Z$38+IF(Z$35=0,0,($C80*$D80*Z$35)-Z$36-MAX(0,($C80*$D80*Z$35)-Z$36-Z$37)*Assumptions!$B$33)</f>
        <v>7.0938230310248613</v>
      </c>
      <c r="AA80" s="105">
        <f>AA$38+IF(AA$35=0,0,($C80*$D80*AA$35)-AA$36-MAX(0,($C80*$D80*AA$35)-AA$36-AA$37)*Assumptions!$B$33)</f>
        <v>7.1659044963236092</v>
      </c>
      <c r="AB80" s="105">
        <f>AB$38+IF(AB$35=0,0,($C80*$D80*AB$35)-AB$36-MAX(0,($C80*$D80*AB$35)-AB$36-AB$37)*Assumptions!$B$33)</f>
        <v>7.2384424071968407</v>
      </c>
    </row>
    <row r="81" spans="1:28" outlineLevel="1" x14ac:dyDescent="0.3">
      <c r="A81" s="100">
        <f t="shared" si="7"/>
        <v>41</v>
      </c>
      <c r="B81" s="101" cm="1">
        <f t="array" ref="B81">INDEX($B$12:$B$18,ROUNDUP((ROW()-40)/7,0))</f>
        <v>0.24000000000000005</v>
      </c>
      <c r="C81" s="102">
        <f>Assumptions!$B$10*$B81</f>
        <v>105.12000000000002</v>
      </c>
      <c r="D81" s="103" cm="1">
        <f t="array" ref="D81">INDEX($C$11:$I$11,MOD(ROW()-41,7)+1)</f>
        <v>8.500000000000002E-2</v>
      </c>
      <c r="E81" s="101">
        <f t="shared" si="8"/>
        <v>9.4645877145955071E-2</v>
      </c>
      <c r="F81" s="104">
        <f>H81+NPV(Assumptions!$B$34,I81:AB81)</f>
        <v>-2.2638104254183418</v>
      </c>
      <c r="H81" s="105">
        <f>H$38+IF(H$35=0,0,($C81*$D81*H$35)-H$36-MAX(0,($C81*$D81*H$35)-H$36-H$37)*Assumptions!$B$33)</f>
        <v>-60</v>
      </c>
      <c r="I81" s="105">
        <f>I$38+IF(I$35=0,0,($C81*$D81*I$35)-I$36-MAX(0,($C81*$D81*I$35)-I$36-I$37)*Assumptions!$B$33)</f>
        <v>6.3146400000000025</v>
      </c>
      <c r="J81" s="105">
        <f>J$38+IF(J$35=0,0,($C81*$D81*J$35)-J$36-MAX(0,($C81*$D81*J$35)-J$36-J$37)*Assumptions!$B$33)</f>
        <v>6.3832596000000024</v>
      </c>
      <c r="K81" s="105">
        <f>K$38+IF(K$35=0,0,($C81*$D81*K$35)-K$36-MAX(0,($C81*$D81*K$35)-K$36-K$37)*Assumptions!$B$33)</f>
        <v>6.4525304940000003</v>
      </c>
      <c r="L81" s="105">
        <f>L$38+IF(L$35=0,0,($C81*$D81*L$35)-L$36-MAX(0,($C81*$D81*L$35)-L$36-L$37)*Assumptions!$B$33)</f>
        <v>6.5224511114099997</v>
      </c>
      <c r="M81" s="105">
        <f>M$38+IF(M$35=0,0,($C81*$D81*M$35)-M$36-MAX(0,($C81*$D81*M$35)-M$36-M$37)*Assumptions!$B$33)</f>
        <v>6.5930195178811495</v>
      </c>
      <c r="N81" s="105">
        <f>N$38+IF(N$35=0,0,($C81*$D81*N$35)-N$36-MAX(0,($C81*$D81*N$35)-N$36-N$37)*Assumptions!$B$33)</f>
        <v>6.6642333996433667</v>
      </c>
      <c r="O81" s="105">
        <f>O$38+IF(O$35=0,0,($C81*$D81*O$35)-O$36-MAX(0,($C81*$D81*O$35)-O$36-O$37)*Assumptions!$B$33)</f>
        <v>6.7360900473018344</v>
      </c>
      <c r="P81" s="105">
        <f>P$38+IF(P$35=0,0,($C81*$D81*P$35)-P$36-MAX(0,($C81*$D81*P$35)-P$36-P$37)*Assumptions!$B$33)</f>
        <v>6.8085863390750969</v>
      </c>
      <c r="Q81" s="105">
        <f>Q$38+IF(Q$35=0,0,($C81*$D81*Q$35)-Q$36-MAX(0,($C81*$D81*Q$35)-Q$36-Q$37)*Assumptions!$B$33)</f>
        <v>6.881718723456868</v>
      </c>
      <c r="R81" s="105">
        <f>R$38+IF(R$35=0,0,($C81*$D81*R$35)-R$36-MAX(0,($C81*$D81*R$35)-R$36-R$37)*Assumptions!$B$33)</f>
        <v>6.9554832012832364</v>
      </c>
      <c r="S81" s="105">
        <f>S$38+IF(S$35=0,0,($C81*$D81*S$35)-S$36-MAX(0,($C81*$D81*S$35)-S$36-S$37)*Assumptions!$B$33)</f>
        <v>7.0298753071862361</v>
      </c>
      <c r="T81" s="105">
        <f>T$38+IF(T$35=0,0,($C81*$D81*T$35)-T$36-MAX(0,($C81*$D81*T$35)-T$36-T$37)*Assumptions!$B$33)</f>
        <v>7.1048900904142931</v>
      </c>
      <c r="U81" s="105">
        <f>U$38+IF(U$35=0,0,($C81*$D81*U$35)-U$36-MAX(0,($C81*$D81*U$35)-U$36-U$37)*Assumptions!$B$33)</f>
        <v>7.1805220949993771</v>
      </c>
      <c r="V81" s="105">
        <f>V$38+IF(V$35=0,0,($C81*$D81*V$35)-V$36-MAX(0,($C81*$D81*V$35)-V$36-V$37)*Assumptions!$B$33)</f>
        <v>7.2567653392501068</v>
      </c>
      <c r="W81" s="105">
        <f>W$38+IF(W$35=0,0,($C81*$D81*W$35)-W$36-MAX(0,($C81*$D81*W$35)-W$36-W$37)*Assumptions!$B$33)</f>
        <v>7.3336132945493651</v>
      </c>
      <c r="X81" s="105">
        <f>X$38+IF(X$35=0,0,($C81*$D81*X$35)-X$36-MAX(0,($C81*$D81*X$35)-X$36-X$37)*Assumptions!$B$33)</f>
        <v>7.4110588634344312</v>
      </c>
      <c r="Y81" s="105">
        <f>Y$38+IF(Y$35=0,0,($C81*$D81*Y$35)-Y$36-MAX(0,($C81*$D81*Y$35)-Y$36-Y$37)*Assumptions!$B$33)</f>
        <v>7.4890943569367767</v>
      </c>
      <c r="Z81" s="105">
        <f>Z$38+IF(Z$35=0,0,($C81*$D81*Z$35)-Z$36-MAX(0,($C81*$D81*Z$35)-Z$36-Z$37)*Assumptions!$B$33)</f>
        <v>7.5677114711581837</v>
      </c>
      <c r="AA81" s="105">
        <f>AA$38+IF(AA$35=0,0,($C81*$D81*AA$35)-AA$36-MAX(0,($C81*$D81*AA$35)-AA$36-AA$37)*Assumptions!$B$33)</f>
        <v>7.6469012630589308</v>
      </c>
      <c r="AB81" s="105">
        <f>AB$38+IF(AB$35=0,0,($C81*$D81*AB$35)-AB$36-MAX(0,($C81*$D81*AB$35)-AB$36-AB$37)*Assumptions!$B$33)</f>
        <v>7.7266541254331909</v>
      </c>
    </row>
    <row r="82" spans="1:28" outlineLevel="1" x14ac:dyDescent="0.3">
      <c r="A82" s="100">
        <f t="shared" si="7"/>
        <v>42</v>
      </c>
      <c r="B82" s="101" cm="1">
        <f t="array" ref="B82">INDEX($B$12:$B$18,ROUNDUP((ROW()-40)/7,0))</f>
        <v>0.24000000000000005</v>
      </c>
      <c r="C82" s="102">
        <f>Assumptions!$B$10*$B82</f>
        <v>105.12000000000002</v>
      </c>
      <c r="D82" s="103" cm="1">
        <f t="array" ref="D82">INDEX($C$11:$I$11,MOD(ROW()-41,7)+1)</f>
        <v>9.0000000000000024E-2</v>
      </c>
      <c r="E82" s="101">
        <f t="shared" si="8"/>
        <v>0.10279840665656303</v>
      </c>
      <c r="F82" s="104">
        <f>H82+NPV(Assumptions!$B$34,I82:AB82)</f>
        <v>1.1980942280147033</v>
      </c>
      <c r="H82" s="105">
        <f>H$38+IF(H$35=0,0,($C82*$D82*H$35)-H$36-MAX(0,($C82*$D82*H$35)-H$36-H$37)*Assumptions!$B$33)</f>
        <v>-60</v>
      </c>
      <c r="I82" s="105">
        <f>I$38+IF(I$35=0,0,($C82*$D82*I$35)-I$36-MAX(0,($C82*$D82*I$35)-I$36-I$37)*Assumptions!$B$33)</f>
        <v>6.6825600000000041</v>
      </c>
      <c r="J82" s="105">
        <f>J$38+IF(J$35=0,0,($C82*$D82*J$35)-J$36-MAX(0,($C82*$D82*J$35)-J$36-J$37)*Assumptions!$B$33)</f>
        <v>6.7566984000000021</v>
      </c>
      <c r="K82" s="105">
        <f>K$38+IF(K$35=0,0,($C82*$D82*K$35)-K$36-MAX(0,($C82*$D82*K$35)-K$36-K$37)*Assumptions!$B$33)</f>
        <v>6.8315708760000016</v>
      </c>
      <c r="L82" s="105">
        <f>L$38+IF(L$35=0,0,($C82*$D82*L$35)-L$36-MAX(0,($C82*$D82*L$35)-L$36-L$37)*Assumptions!$B$33)</f>
        <v>6.9071770991400001</v>
      </c>
      <c r="M82" s="105">
        <f>M$38+IF(M$35=0,0,($C82*$D82*M$35)-M$36-MAX(0,($C82*$D82*M$35)-M$36-M$37)*Assumptions!$B$33)</f>
        <v>6.9835163954270989</v>
      </c>
      <c r="N82" s="105">
        <f>N$38+IF(N$35=0,0,($C82*$D82*N$35)-N$36-MAX(0,($C82*$D82*N$35)-N$36-N$37)*Assumptions!$B$33)</f>
        <v>7.0605877303525055</v>
      </c>
      <c r="O82" s="105">
        <f>O$38+IF(O$35=0,0,($C82*$D82*O$35)-O$36-MAX(0,($C82*$D82*O$35)-O$36-O$37)*Assumptions!$B$33)</f>
        <v>7.1383896929716117</v>
      </c>
      <c r="P82" s="105">
        <f>P$38+IF(P$35=0,0,($C82*$D82*P$35)-P$36-MAX(0,($C82*$D82*P$35)-P$36-P$37)*Assumptions!$B$33)</f>
        <v>7.2169204794299198</v>
      </c>
      <c r="Q82" s="105">
        <f>Q$38+IF(Q$35=0,0,($C82*$D82*Q$35)-Q$36-MAX(0,($C82*$D82*Q$35)-Q$36-Q$37)*Assumptions!$B$33)</f>
        <v>7.2961778759170137</v>
      </c>
      <c r="R82" s="105">
        <f>R$38+IF(R$35=0,0,($C82*$D82*R$35)-R$36-MAX(0,($C82*$D82*R$35)-R$36-R$37)*Assumptions!$B$33)</f>
        <v>7.376159241030285</v>
      </c>
      <c r="S82" s="105">
        <f>S$38+IF(S$35=0,0,($C82*$D82*S$35)-S$36-MAX(0,($C82*$D82*S$35)-S$36-S$37)*Assumptions!$B$33)</f>
        <v>7.4568614875294887</v>
      </c>
      <c r="T82" s="105">
        <f>T$38+IF(T$35=0,0,($C82*$D82*T$35)-T$36-MAX(0,($C82*$D82*T$35)-T$36-T$37)*Assumptions!$B$33)</f>
        <v>7.5382810634626942</v>
      </c>
      <c r="U82" s="105">
        <f>U$38+IF(U$35=0,0,($C82*$D82*U$35)-U$36-MAX(0,($C82*$D82*U$35)-U$36-U$37)*Assumptions!$B$33)</f>
        <v>7.6204139326435048</v>
      </c>
      <c r="V82" s="105">
        <f>V$38+IF(V$35=0,0,($C82*$D82*V$35)-V$36-MAX(0,($C82*$D82*V$35)-V$36-V$37)*Assumptions!$B$33)</f>
        <v>7.7032555544588952</v>
      </c>
      <c r="W82" s="105">
        <f>W$38+IF(W$35=0,0,($C82*$D82*W$35)-W$36-MAX(0,($C82*$D82*W$35)-W$36-W$37)*Assumptions!$B$33)</f>
        <v>7.7868008629862864</v>
      </c>
      <c r="X82" s="105">
        <f>X$38+IF(X$35=0,0,($C82*$D82*X$35)-X$36-MAX(0,($C82*$D82*X$35)-X$36-X$37)*Assumptions!$B$33)</f>
        <v>7.8710442453979077</v>
      </c>
      <c r="Y82" s="105">
        <f>Y$38+IF(Y$35=0,0,($C82*$D82*Y$35)-Y$36-MAX(0,($C82*$D82*Y$35)-Y$36-Y$37)*Assumptions!$B$33)</f>
        <v>7.9559795196297038</v>
      </c>
      <c r="Z82" s="105">
        <f>Z$38+IF(Z$35=0,0,($C82*$D82*Z$35)-Z$36-MAX(0,($C82*$D82*Z$35)-Z$36-Z$37)*Assumptions!$B$33)</f>
        <v>8.0415999112915042</v>
      </c>
      <c r="AA82" s="105">
        <f>AA$38+IF(AA$35=0,0,($C82*$D82*AA$35)-AA$36-MAX(0,($C82*$D82*AA$35)-AA$36-AA$37)*Assumptions!$B$33)</f>
        <v>8.1278980297942525</v>
      </c>
      <c r="AB82" s="105">
        <f>AB$38+IF(AB$35=0,0,($C82*$D82*AB$35)-AB$36-MAX(0,($C82*$D82*AB$35)-AB$36-AB$37)*Assumptions!$B$33)</f>
        <v>8.214865843669541</v>
      </c>
    </row>
    <row r="83" spans="1:28" outlineLevel="1" x14ac:dyDescent="0.3">
      <c r="A83" s="100">
        <f t="shared" si="7"/>
        <v>43</v>
      </c>
      <c r="B83" s="101" cm="1">
        <f t="array" ref="B83">INDEX($B$12:$B$18,ROUNDUP((ROW()-40)/7,0))</f>
        <v>0.25500000000000006</v>
      </c>
      <c r="C83" s="102">
        <f>Assumptions!$B$10*$B83</f>
        <v>111.69000000000003</v>
      </c>
      <c r="D83" s="103" cm="1">
        <f t="array" ref="D83">INDEX($C$11:$I$11,MOD(ROW()-41,7)+1)</f>
        <v>0.06</v>
      </c>
      <c r="E83" s="101">
        <f t="shared" si="8"/>
        <v>5.7117133237396311E-2</v>
      </c>
      <c r="F83" s="104">
        <f>H83+NPV(Assumptions!$B$34,I83:AB83)</f>
        <v>-16.976905202508803</v>
      </c>
      <c r="H83" s="105">
        <f>H$38+IF(H$35=0,0,($C83*$D83*H$35)-H$36-MAX(0,($C83*$D83*H$35)-H$36-H$37)*Assumptions!$B$33)</f>
        <v>-60</v>
      </c>
      <c r="I83" s="105">
        <f>I$38+IF(I$35=0,0,($C83*$D83*I$35)-I$36-MAX(0,($C83*$D83*I$35)-I$36-I$37)*Assumptions!$B$33)</f>
        <v>4.7509800000000011</v>
      </c>
      <c r="J83" s="105">
        <f>J$38+IF(J$35=0,0,($C83*$D83*J$35)-J$36-MAX(0,($C83*$D83*J$35)-J$36-J$37)*Assumptions!$B$33)</f>
        <v>4.796144700000001</v>
      </c>
      <c r="K83" s="105">
        <f>K$38+IF(K$35=0,0,($C83*$D83*K$35)-K$36-MAX(0,($C83*$D83*K$35)-K$36-K$37)*Assumptions!$B$33)</f>
        <v>4.8416088705</v>
      </c>
      <c r="L83" s="105">
        <f>L$38+IF(L$35=0,0,($C83*$D83*L$35)-L$36-MAX(0,($C83*$D83*L$35)-L$36-L$37)*Assumptions!$B$33)</f>
        <v>4.8873656635574996</v>
      </c>
      <c r="M83" s="105">
        <f>M$38+IF(M$35=0,0,($C83*$D83*M$35)-M$36-MAX(0,($C83*$D83*M$35)-M$36-M$37)*Assumptions!$B$33)</f>
        <v>4.9334077883108609</v>
      </c>
      <c r="N83" s="105">
        <f>N$38+IF(N$35=0,0,($C83*$D83*N$35)-N$36-MAX(0,($C83*$D83*N$35)-N$36-N$37)*Assumptions!$B$33)</f>
        <v>4.9797274941295235</v>
      </c>
      <c r="O83" s="105">
        <f>O$38+IF(O$35=0,0,($C83*$D83*O$35)-O$36-MAX(0,($C83*$D83*O$35)-O$36-O$37)*Assumptions!$B$33)</f>
        <v>5.0263165532052847</v>
      </c>
      <c r="P83" s="105">
        <f>P$38+IF(P$35=0,0,($C83*$D83*P$35)-P$36-MAX(0,($C83*$D83*P$35)-P$36-P$37)*Assumptions!$B$33)</f>
        <v>5.0731662425670985</v>
      </c>
      <c r="Q83" s="105">
        <f>Q$38+IF(Q$35=0,0,($C83*$D83*Q$35)-Q$36-MAX(0,($C83*$D83*Q$35)-Q$36-Q$37)*Assumptions!$B$33)</f>
        <v>5.120267325501251</v>
      </c>
      <c r="R83" s="105">
        <f>R$38+IF(R$35=0,0,($C83*$D83*R$35)-R$36-MAX(0,($C83*$D83*R$35)-R$36-R$37)*Assumptions!$B$33)</f>
        <v>5.1676100323582848</v>
      </c>
      <c r="S83" s="105">
        <f>S$38+IF(S$35=0,0,($C83*$D83*S$35)-S$36-MAX(0,($C83*$D83*S$35)-S$36-S$37)*Assumptions!$B$33)</f>
        <v>5.2151840407274097</v>
      </c>
      <c r="T83" s="105">
        <f>T$38+IF(T$35=0,0,($C83*$D83*T$35)-T$36-MAX(0,($C83*$D83*T$35)-T$36-T$37)*Assumptions!$B$33)</f>
        <v>5.262978454958585</v>
      </c>
      <c r="U83" s="105">
        <f>U$38+IF(U$35=0,0,($C83*$D83*U$35)-U$36-MAX(0,($C83*$D83*U$35)-U$36-U$37)*Assumptions!$B$33)</f>
        <v>5.310981785011835</v>
      </c>
      <c r="V83" s="105">
        <f>V$38+IF(V$35=0,0,($C83*$D83*V$35)-V$36-MAX(0,($C83*$D83*V$35)-V$36-V$37)*Assumptions!$B$33)</f>
        <v>5.3591819246127503</v>
      </c>
      <c r="W83" s="105">
        <f>W$38+IF(W$35=0,0,($C83*$D83*W$35)-W$36-MAX(0,($C83*$D83*W$35)-W$36-W$37)*Assumptions!$B$33)</f>
        <v>5.4075661286924497</v>
      </c>
      <c r="X83" s="105">
        <f>X$38+IF(X$35=0,0,($C83*$D83*X$35)-X$36-MAX(0,($C83*$D83*X$35)-X$36-X$37)*Assumptions!$B$33)</f>
        <v>5.4561209900896612</v>
      </c>
      <c r="Y83" s="105">
        <f>Y$38+IF(Y$35=0,0,($C83*$D83*Y$35)-Y$36-MAX(0,($C83*$D83*Y$35)-Y$36-Y$37)*Assumptions!$B$33)</f>
        <v>5.504832415491836</v>
      </c>
      <c r="Z83" s="105">
        <f>Z$38+IF(Z$35=0,0,($C83*$D83*Z$35)-Z$36-MAX(0,($C83*$D83*Z$35)-Z$36-Z$37)*Assumptions!$B$33)</f>
        <v>5.5536856005915674</v>
      </c>
      <c r="AA83" s="105">
        <f>AA$38+IF(AA$35=0,0,($C83*$D83*AA$35)-AA$36-MAX(0,($C83*$D83*AA$35)-AA$36-AA$37)*Assumptions!$B$33)</f>
        <v>5.6026650044338169</v>
      </c>
      <c r="AB83" s="105">
        <f>AB$38+IF(AB$35=0,0,($C83*$D83*AB$35)-AB$36-MAX(0,($C83*$D83*AB$35)-AB$36-AB$37)*Assumptions!$B$33)</f>
        <v>5.6517543229287002</v>
      </c>
    </row>
    <row r="84" spans="1:28" outlineLevel="1" x14ac:dyDescent="0.3">
      <c r="A84" s="100">
        <f t="shared" si="7"/>
        <v>44</v>
      </c>
      <c r="B84" s="101" cm="1">
        <f t="array" ref="B84">INDEX($B$12:$B$18,ROUNDUP((ROW()-40)/7,0))</f>
        <v>0.25500000000000006</v>
      </c>
      <c r="C84" s="102">
        <f>Assumptions!$B$10*$B84</f>
        <v>111.69000000000003</v>
      </c>
      <c r="D84" s="103" cm="1">
        <f t="array" ref="D84">INDEX($C$11:$I$11,MOD(ROW()-41,7)+1)</f>
        <v>6.5000000000000002E-2</v>
      </c>
      <c r="E84" s="101">
        <f t="shared" si="8"/>
        <v>6.7032191834819121E-2</v>
      </c>
      <c r="F84" s="104">
        <f>H84+NPV(Assumptions!$B$34,I84:AB84)</f>
        <v>-13.298631508236184</v>
      </c>
      <c r="H84" s="105">
        <f>H$38+IF(H$35=0,0,($C84*$D84*H$35)-H$36-MAX(0,($C84*$D84*H$35)-H$36-H$37)*Assumptions!$B$33)</f>
        <v>-60</v>
      </c>
      <c r="I84" s="105">
        <f>I$38+IF(I$35=0,0,($C84*$D84*I$35)-I$36-MAX(0,($C84*$D84*I$35)-I$36-I$37)*Assumptions!$B$33)</f>
        <v>5.1418950000000017</v>
      </c>
      <c r="J84" s="105">
        <f>J$38+IF(J$35=0,0,($C84*$D84*J$35)-J$36-MAX(0,($C84*$D84*J$35)-J$36-J$37)*Assumptions!$B$33)</f>
        <v>5.1929234250000018</v>
      </c>
      <c r="K84" s="105">
        <f>K$38+IF(K$35=0,0,($C84*$D84*K$35)-K$36-MAX(0,($C84*$D84*K$35)-K$36-K$37)*Assumptions!$B$33)</f>
        <v>5.2443392763749994</v>
      </c>
      <c r="L84" s="105">
        <f>L$38+IF(L$35=0,0,($C84*$D84*L$35)-L$36-MAX(0,($C84*$D84*L$35)-L$36-L$37)*Assumptions!$B$33)</f>
        <v>5.2961370255206246</v>
      </c>
      <c r="M84" s="105">
        <f>M$38+IF(M$35=0,0,($C84*$D84*M$35)-M$36-MAX(0,($C84*$D84*M$35)-M$36-M$37)*Assumptions!$B$33)</f>
        <v>5.3483107207034326</v>
      </c>
      <c r="N84" s="105">
        <f>N$38+IF(N$35=0,0,($C84*$D84*N$35)-N$36-MAX(0,($C84*$D84*N$35)-N$36-N$37)*Assumptions!$B$33)</f>
        <v>5.4008539705079839</v>
      </c>
      <c r="O84" s="105">
        <f>O$38+IF(O$35=0,0,($C84*$D84*O$35)-O$36-MAX(0,($C84*$D84*O$35)-O$36-O$37)*Assumptions!$B$33)</f>
        <v>5.4537599267294219</v>
      </c>
      <c r="P84" s="105">
        <f>P$38+IF(P$35=0,0,($C84*$D84*P$35)-P$36-MAX(0,($C84*$D84*P$35)-P$36-P$37)*Assumptions!$B$33)</f>
        <v>5.5070212666940979</v>
      </c>
      <c r="Q84" s="105">
        <f>Q$38+IF(Q$35=0,0,($C84*$D84*Q$35)-Q$36-MAX(0,($C84*$D84*Q$35)-Q$36-Q$37)*Assumptions!$B$33)</f>
        <v>5.5606301749901554</v>
      </c>
      <c r="R84" s="105">
        <f>R$38+IF(R$35=0,0,($C84*$D84*R$35)-R$36-MAX(0,($C84*$D84*R$35)-R$36-R$37)*Assumptions!$B$33)</f>
        <v>5.6145783245895231</v>
      </c>
      <c r="S84" s="105">
        <f>S$38+IF(S$35=0,0,($C84*$D84*S$35)-S$36-MAX(0,($C84*$D84*S$35)-S$36-S$37)*Assumptions!$B$33)</f>
        <v>5.6688568573421163</v>
      </c>
      <c r="T84" s="105">
        <f>T$38+IF(T$35=0,0,($C84*$D84*T$35)-T$36-MAX(0,($C84*$D84*T$35)-T$36-T$37)*Assumptions!$B$33)</f>
        <v>5.7234563638225122</v>
      </c>
      <c r="U84" s="105">
        <f>U$38+IF(U$35=0,0,($C84*$D84*U$35)-U$36-MAX(0,($C84*$D84*U$35)-U$36-U$37)*Assumptions!$B$33)</f>
        <v>5.7783668625087197</v>
      </c>
      <c r="V84" s="105">
        <f>V$38+IF(V$35=0,0,($C84*$D84*V$35)-V$36-MAX(0,($C84*$D84*V$35)-V$36-V$37)*Assumptions!$B$33)</f>
        <v>5.8335777782720886</v>
      </c>
      <c r="W84" s="105">
        <f>W$38+IF(W$35=0,0,($C84*$D84*W$35)-W$36-MAX(0,($C84*$D84*W$35)-W$36-W$37)*Assumptions!$B$33)</f>
        <v>5.8890779201566783</v>
      </c>
      <c r="X84" s="105">
        <f>X$38+IF(X$35=0,0,($C84*$D84*X$35)-X$36-MAX(0,($C84*$D84*X$35)-X$36-X$37)*Assumptions!$B$33)</f>
        <v>5.9448554584258533</v>
      </c>
      <c r="Y84" s="105">
        <f>Y$38+IF(Y$35=0,0,($C84*$D84*Y$35)-Y$36-MAX(0,($C84*$D84*Y$35)-Y$36-Y$37)*Assumptions!$B$33)</f>
        <v>6.0008979008530705</v>
      </c>
      <c r="Z84" s="105">
        <f>Z$38+IF(Z$35=0,0,($C84*$D84*Z$35)-Z$36-MAX(0,($C84*$D84*Z$35)-Z$36-Z$37)*Assumptions!$B$33)</f>
        <v>6.0571920682332223</v>
      </c>
      <c r="AA84" s="105">
        <f>AA$38+IF(AA$35=0,0,($C84*$D84*AA$35)-AA$36-MAX(0,($C84*$D84*AA$35)-AA$36-AA$37)*Assumptions!$B$33)</f>
        <v>6.1137240690900949</v>
      </c>
      <c r="AB84" s="105">
        <f>AB$38+IF(AB$35=0,0,($C84*$D84*AB$35)-AB$36-MAX(0,($C84*$D84*AB$35)-AB$36-AB$37)*Assumptions!$B$33)</f>
        <v>6.1704792735548226</v>
      </c>
    </row>
    <row r="85" spans="1:28" outlineLevel="1" x14ac:dyDescent="0.3">
      <c r="A85" s="100">
        <f t="shared" si="7"/>
        <v>45</v>
      </c>
      <c r="B85" s="101" cm="1">
        <f t="array" ref="B85">INDEX($B$12:$B$18,ROUNDUP((ROW()-40)/7,0))</f>
        <v>0.25500000000000006</v>
      </c>
      <c r="C85" s="102">
        <f>Assumptions!$B$10*$B85</f>
        <v>111.69000000000003</v>
      </c>
      <c r="D85" s="103" cm="1">
        <f t="array" ref="D85">INDEX($C$11:$I$11,MOD(ROW()-41,7)+1)</f>
        <v>7.0000000000000007E-2</v>
      </c>
      <c r="E85" s="101">
        <f t="shared" si="8"/>
        <v>7.6554427573364947E-2</v>
      </c>
      <c r="F85" s="104">
        <f>H85+NPV(Assumptions!$B$34,I85:AB85)</f>
        <v>-9.6203578139635866</v>
      </c>
      <c r="H85" s="105">
        <f>H$38+IF(H$35=0,0,($C85*$D85*H$35)-H$36-MAX(0,($C85*$D85*H$35)-H$36-H$37)*Assumptions!$B$33)</f>
        <v>-60</v>
      </c>
      <c r="I85" s="105">
        <f>I$38+IF(I$35=0,0,($C85*$D85*I$35)-I$36-MAX(0,($C85*$D85*I$35)-I$36-I$37)*Assumptions!$B$33)</f>
        <v>5.5328100000000013</v>
      </c>
      <c r="J85" s="105">
        <f>J$38+IF(J$35=0,0,($C85*$D85*J$35)-J$36-MAX(0,($C85*$D85*J$35)-J$36-J$37)*Assumptions!$B$33)</f>
        <v>5.5897021500000008</v>
      </c>
      <c r="K85" s="105">
        <f>K$38+IF(K$35=0,0,($C85*$D85*K$35)-K$36-MAX(0,($C85*$D85*K$35)-K$36-K$37)*Assumptions!$B$33)</f>
        <v>5.6470696822500006</v>
      </c>
      <c r="L85" s="105">
        <f>L$38+IF(L$35=0,0,($C85*$D85*L$35)-L$36-MAX(0,($C85*$D85*L$35)-L$36-L$37)*Assumptions!$B$33)</f>
        <v>5.7049083874837496</v>
      </c>
      <c r="M85" s="105">
        <f>M$38+IF(M$35=0,0,($C85*$D85*M$35)-M$36-MAX(0,($C85*$D85*M$35)-M$36-M$37)*Assumptions!$B$33)</f>
        <v>5.7632136530960052</v>
      </c>
      <c r="N85" s="105">
        <f>N$38+IF(N$35=0,0,($C85*$D85*N$35)-N$36-MAX(0,($C85*$D85*N$35)-N$36-N$37)*Assumptions!$B$33)</f>
        <v>5.8219804468864451</v>
      </c>
      <c r="O85" s="105">
        <f>O$38+IF(O$35=0,0,($C85*$D85*O$35)-O$36-MAX(0,($C85*$D85*O$35)-O$36-O$37)*Assumptions!$B$33)</f>
        <v>5.8812033002535591</v>
      </c>
      <c r="P85" s="105">
        <f>P$38+IF(P$35=0,0,($C85*$D85*P$35)-P$36-MAX(0,($C85*$D85*P$35)-P$36-P$37)*Assumptions!$B$33)</f>
        <v>5.9408762908210964</v>
      </c>
      <c r="Q85" s="105">
        <f>Q$38+IF(Q$35=0,0,($C85*$D85*Q$35)-Q$36-MAX(0,($C85*$D85*Q$35)-Q$36-Q$37)*Assumptions!$B$33)</f>
        <v>6.000993024479059</v>
      </c>
      <c r="R85" s="105">
        <f>R$38+IF(R$35=0,0,($C85*$D85*R$35)-R$36-MAX(0,($C85*$D85*R$35)-R$36-R$37)*Assumptions!$B$33)</f>
        <v>6.0615466168207606</v>
      </c>
      <c r="S85" s="105">
        <f>S$38+IF(S$35=0,0,($C85*$D85*S$35)-S$36-MAX(0,($C85*$D85*S$35)-S$36-S$37)*Assumptions!$B$33)</f>
        <v>6.1225296739568229</v>
      </c>
      <c r="T85" s="105">
        <f>T$38+IF(T$35=0,0,($C85*$D85*T$35)-T$36-MAX(0,($C85*$D85*T$35)-T$36-T$37)*Assumptions!$B$33)</f>
        <v>6.1839342726864386</v>
      </c>
      <c r="U85" s="105">
        <f>U$38+IF(U$35=0,0,($C85*$D85*U$35)-U$36-MAX(0,($C85*$D85*U$35)-U$36-U$37)*Assumptions!$B$33)</f>
        <v>6.2457519400056061</v>
      </c>
      <c r="V85" s="105">
        <f>V$38+IF(V$35=0,0,($C85*$D85*V$35)-V$36-MAX(0,($C85*$D85*V$35)-V$36-V$37)*Assumptions!$B$33)</f>
        <v>6.3079736319314277</v>
      </c>
      <c r="W85" s="105">
        <f>W$38+IF(W$35=0,0,($C85*$D85*W$35)-W$36-MAX(0,($C85*$D85*W$35)-W$36-W$37)*Assumptions!$B$33)</f>
        <v>6.3705897116209069</v>
      </c>
      <c r="X85" s="105">
        <f>X$38+IF(X$35=0,0,($C85*$D85*X$35)-X$36-MAX(0,($C85*$D85*X$35)-X$36-X$37)*Assumptions!$B$33)</f>
        <v>6.4335899267620453</v>
      </c>
      <c r="Y85" s="105">
        <f>Y$38+IF(Y$35=0,0,($C85*$D85*Y$35)-Y$36-MAX(0,($C85*$D85*Y$35)-Y$36-Y$37)*Assumptions!$B$33)</f>
        <v>6.4969633862143059</v>
      </c>
      <c r="Z85" s="105">
        <f>Z$38+IF(Z$35=0,0,($C85*$D85*Z$35)-Z$36-MAX(0,($C85*$D85*Z$35)-Z$36-Z$37)*Assumptions!$B$33)</f>
        <v>6.5606985358748755</v>
      </c>
      <c r="AA85" s="105">
        <f>AA$38+IF(AA$35=0,0,($C85*$D85*AA$35)-AA$36-MAX(0,($C85*$D85*AA$35)-AA$36-AA$37)*Assumptions!$B$33)</f>
        <v>6.6247831337463738</v>
      </c>
      <c r="AB85" s="105">
        <f>AB$38+IF(AB$35=0,0,($C85*$D85*AB$35)-AB$36-MAX(0,($C85*$D85*AB$35)-AB$36-AB$37)*Assumptions!$B$33)</f>
        <v>6.689204224180946</v>
      </c>
    </row>
    <row r="86" spans="1:28" outlineLevel="1" x14ac:dyDescent="0.3">
      <c r="A86" s="100">
        <f t="shared" si="7"/>
        <v>46</v>
      </c>
      <c r="B86" s="101" cm="1">
        <f t="array" ref="B86">INDEX($B$12:$B$18,ROUNDUP((ROW()-40)/7,0))</f>
        <v>0.25500000000000006</v>
      </c>
      <c r="C86" s="102">
        <f>Assumptions!$B$10*$B86</f>
        <v>111.69000000000003</v>
      </c>
      <c r="D86" s="103" cm="1">
        <f t="array" ref="D86">INDEX($C$11:$I$11,MOD(ROW()-41,7)+1)</f>
        <v>7.5000000000000011E-2</v>
      </c>
      <c r="E86" s="101">
        <f t="shared" si="8"/>
        <v>8.5743146714429841E-2</v>
      </c>
      <c r="F86" s="104">
        <f>H86+NPV(Assumptions!$B$34,I86:AB86)</f>
        <v>-5.9420841196909606</v>
      </c>
      <c r="H86" s="105">
        <f>H$38+IF(H$35=0,0,($C86*$D86*H$35)-H$36-MAX(0,($C86*$D86*H$35)-H$36-H$37)*Assumptions!$B$33)</f>
        <v>-60</v>
      </c>
      <c r="I86" s="105">
        <f>I$38+IF(I$35=0,0,($C86*$D86*I$35)-I$36-MAX(0,($C86*$D86*I$35)-I$36-I$37)*Assumptions!$B$33)</f>
        <v>5.9237250000000019</v>
      </c>
      <c r="J86" s="105">
        <f>J$38+IF(J$35=0,0,($C86*$D86*J$35)-J$36-MAX(0,($C86*$D86*J$35)-J$36-J$37)*Assumptions!$B$33)</f>
        <v>5.9864808750000016</v>
      </c>
      <c r="K86" s="105">
        <f>K$38+IF(K$35=0,0,($C86*$D86*K$35)-K$36-MAX(0,($C86*$D86*K$35)-K$36-K$37)*Assumptions!$B$33)</f>
        <v>6.049800088125</v>
      </c>
      <c r="L86" s="105">
        <f>L$38+IF(L$35=0,0,($C86*$D86*L$35)-L$36-MAX(0,($C86*$D86*L$35)-L$36-L$37)*Assumptions!$B$33)</f>
        <v>6.1136797494468755</v>
      </c>
      <c r="M86" s="105">
        <f>M$38+IF(M$35=0,0,($C86*$D86*M$35)-M$36-MAX(0,($C86*$D86*M$35)-M$36-M$37)*Assumptions!$B$33)</f>
        <v>6.1781165854885769</v>
      </c>
      <c r="N86" s="105">
        <f>N$38+IF(N$35=0,0,($C86*$D86*N$35)-N$36-MAX(0,($C86*$D86*N$35)-N$36-N$37)*Assumptions!$B$33)</f>
        <v>6.2431069232649055</v>
      </c>
      <c r="O86" s="105">
        <f>O$38+IF(O$35=0,0,($C86*$D86*O$35)-O$36-MAX(0,($C86*$D86*O$35)-O$36-O$37)*Assumptions!$B$33)</f>
        <v>6.3086466737776972</v>
      </c>
      <c r="P86" s="105">
        <f>P$38+IF(P$35=0,0,($C86*$D86*P$35)-P$36-MAX(0,($C86*$D86*P$35)-P$36-P$37)*Assumptions!$B$33)</f>
        <v>6.3747313149480958</v>
      </c>
      <c r="Q86" s="105">
        <f>Q$38+IF(Q$35=0,0,($C86*$D86*Q$35)-Q$36-MAX(0,($C86*$D86*Q$35)-Q$36-Q$37)*Assumptions!$B$33)</f>
        <v>6.4413558739679635</v>
      </c>
      <c r="R86" s="105">
        <f>R$38+IF(R$35=0,0,($C86*$D86*R$35)-R$36-MAX(0,($C86*$D86*R$35)-R$36-R$37)*Assumptions!$B$33)</f>
        <v>6.5085149090519989</v>
      </c>
      <c r="S86" s="105">
        <f>S$38+IF(S$35=0,0,($C86*$D86*S$35)-S$36-MAX(0,($C86*$D86*S$35)-S$36-S$37)*Assumptions!$B$33)</f>
        <v>6.5762024905715286</v>
      </c>
      <c r="T86" s="105">
        <f>T$38+IF(T$35=0,0,($C86*$D86*T$35)-T$36-MAX(0,($C86*$D86*T$35)-T$36-T$37)*Assumptions!$B$33)</f>
        <v>6.6444121815503649</v>
      </c>
      <c r="U86" s="105">
        <f>U$38+IF(U$35=0,0,($C86*$D86*U$35)-U$36-MAX(0,($C86*$D86*U$35)-U$36-U$37)*Assumptions!$B$33)</f>
        <v>6.7131370175024916</v>
      </c>
      <c r="V86" s="105">
        <f>V$38+IF(V$35=0,0,($C86*$D86*V$35)-V$36-MAX(0,($C86*$D86*V$35)-V$36-V$37)*Assumptions!$B$33)</f>
        <v>6.7823694855907668</v>
      </c>
      <c r="W86" s="105">
        <f>W$38+IF(W$35=0,0,($C86*$D86*W$35)-W$36-MAX(0,($C86*$D86*W$35)-W$36-W$37)*Assumptions!$B$33)</f>
        <v>6.8521015030851364</v>
      </c>
      <c r="X86" s="105">
        <f>X$38+IF(X$35=0,0,($C86*$D86*X$35)-X$36-MAX(0,($C86*$D86*X$35)-X$36-X$37)*Assumptions!$B$33)</f>
        <v>6.9223243950982392</v>
      </c>
      <c r="Y86" s="105">
        <f>Y$38+IF(Y$35=0,0,($C86*$D86*Y$35)-Y$36-MAX(0,($C86*$D86*Y$35)-Y$36-Y$37)*Assumptions!$B$33)</f>
        <v>6.9930288715755422</v>
      </c>
      <c r="Z86" s="105">
        <f>Z$38+IF(Z$35=0,0,($C86*$D86*Z$35)-Z$36-MAX(0,($C86*$D86*Z$35)-Z$36-Z$37)*Assumptions!$B$33)</f>
        <v>7.0642050035165287</v>
      </c>
      <c r="AA86" s="105">
        <f>AA$38+IF(AA$35=0,0,($C86*$D86*AA$35)-AA$36-MAX(0,($C86*$D86*AA$35)-AA$36-AA$37)*Assumptions!$B$33)</f>
        <v>7.1358421984026519</v>
      </c>
      <c r="AB86" s="105">
        <f>AB$38+IF(AB$35=0,0,($C86*$D86*AB$35)-AB$36-MAX(0,($C86*$D86*AB$35)-AB$36-AB$37)*Assumptions!$B$33)</f>
        <v>7.2079291748070684</v>
      </c>
    </row>
    <row r="87" spans="1:28" outlineLevel="1" x14ac:dyDescent="0.3">
      <c r="A87" s="100">
        <f t="shared" si="7"/>
        <v>47</v>
      </c>
      <c r="B87" s="101" cm="1">
        <f t="array" ref="B87">INDEX($B$12:$B$18,ROUNDUP((ROW()-40)/7,0))</f>
        <v>0.25500000000000006</v>
      </c>
      <c r="C87" s="102">
        <f>Assumptions!$B$10*$B87</f>
        <v>111.69000000000003</v>
      </c>
      <c r="D87" s="103" cm="1">
        <f t="array" ref="D87">INDEX($C$11:$I$11,MOD(ROW()-41,7)+1)</f>
        <v>8.0000000000000016E-2</v>
      </c>
      <c r="E87" s="101">
        <f t="shared" si="8"/>
        <v>9.4645877145955071E-2</v>
      </c>
      <c r="F87" s="104">
        <f>H87+NPV(Assumptions!$B$34,I87:AB87)</f>
        <v>-2.2638104254183418</v>
      </c>
      <c r="H87" s="105">
        <f>H$38+IF(H$35=0,0,($C87*$D87*H$35)-H$36-MAX(0,($C87*$D87*H$35)-H$36-H$37)*Assumptions!$B$33)</f>
        <v>-60</v>
      </c>
      <c r="I87" s="105">
        <f>I$38+IF(I$35=0,0,($C87*$D87*I$35)-I$36-MAX(0,($C87*$D87*I$35)-I$36-I$37)*Assumptions!$B$33)</f>
        <v>6.3146400000000025</v>
      </c>
      <c r="J87" s="105">
        <f>J$38+IF(J$35=0,0,($C87*$D87*J$35)-J$36-MAX(0,($C87*$D87*J$35)-J$36-J$37)*Assumptions!$B$33)</f>
        <v>6.3832596000000024</v>
      </c>
      <c r="K87" s="105">
        <f>K$38+IF(K$35=0,0,($C87*$D87*K$35)-K$36-MAX(0,($C87*$D87*K$35)-K$36-K$37)*Assumptions!$B$33)</f>
        <v>6.4525304940000003</v>
      </c>
      <c r="L87" s="105">
        <f>L$38+IF(L$35=0,0,($C87*$D87*L$35)-L$36-MAX(0,($C87*$D87*L$35)-L$36-L$37)*Assumptions!$B$33)</f>
        <v>6.5224511114099997</v>
      </c>
      <c r="M87" s="105">
        <f>M$38+IF(M$35=0,0,($C87*$D87*M$35)-M$36-MAX(0,($C87*$D87*M$35)-M$36-M$37)*Assumptions!$B$33)</f>
        <v>6.5930195178811495</v>
      </c>
      <c r="N87" s="105">
        <f>N$38+IF(N$35=0,0,($C87*$D87*N$35)-N$36-MAX(0,($C87*$D87*N$35)-N$36-N$37)*Assumptions!$B$33)</f>
        <v>6.6642333996433667</v>
      </c>
      <c r="O87" s="105">
        <f>O$38+IF(O$35=0,0,($C87*$D87*O$35)-O$36-MAX(0,($C87*$D87*O$35)-O$36-O$37)*Assumptions!$B$33)</f>
        <v>6.7360900473018344</v>
      </c>
      <c r="P87" s="105">
        <f>P$38+IF(P$35=0,0,($C87*$D87*P$35)-P$36-MAX(0,($C87*$D87*P$35)-P$36-P$37)*Assumptions!$B$33)</f>
        <v>6.8085863390750969</v>
      </c>
      <c r="Q87" s="105">
        <f>Q$38+IF(Q$35=0,0,($C87*$D87*Q$35)-Q$36-MAX(0,($C87*$D87*Q$35)-Q$36-Q$37)*Assumptions!$B$33)</f>
        <v>6.881718723456868</v>
      </c>
      <c r="R87" s="105">
        <f>R$38+IF(R$35=0,0,($C87*$D87*R$35)-R$36-MAX(0,($C87*$D87*R$35)-R$36-R$37)*Assumptions!$B$33)</f>
        <v>6.9554832012832364</v>
      </c>
      <c r="S87" s="105">
        <f>S$38+IF(S$35=0,0,($C87*$D87*S$35)-S$36-MAX(0,($C87*$D87*S$35)-S$36-S$37)*Assumptions!$B$33)</f>
        <v>7.0298753071862361</v>
      </c>
      <c r="T87" s="105">
        <f>T$38+IF(T$35=0,0,($C87*$D87*T$35)-T$36-MAX(0,($C87*$D87*T$35)-T$36-T$37)*Assumptions!$B$33)</f>
        <v>7.1048900904142931</v>
      </c>
      <c r="U87" s="105">
        <f>U$38+IF(U$35=0,0,($C87*$D87*U$35)-U$36-MAX(0,($C87*$D87*U$35)-U$36-U$37)*Assumptions!$B$33)</f>
        <v>7.1805220949993771</v>
      </c>
      <c r="V87" s="105">
        <f>V$38+IF(V$35=0,0,($C87*$D87*V$35)-V$36-MAX(0,($C87*$D87*V$35)-V$36-V$37)*Assumptions!$B$33)</f>
        <v>7.2567653392501068</v>
      </c>
      <c r="W87" s="105">
        <f>W$38+IF(W$35=0,0,($C87*$D87*W$35)-W$36-MAX(0,($C87*$D87*W$35)-W$36-W$37)*Assumptions!$B$33)</f>
        <v>7.3336132945493651</v>
      </c>
      <c r="X87" s="105">
        <f>X$38+IF(X$35=0,0,($C87*$D87*X$35)-X$36-MAX(0,($C87*$D87*X$35)-X$36-X$37)*Assumptions!$B$33)</f>
        <v>7.4110588634344312</v>
      </c>
      <c r="Y87" s="105">
        <f>Y$38+IF(Y$35=0,0,($C87*$D87*Y$35)-Y$36-MAX(0,($C87*$D87*Y$35)-Y$36-Y$37)*Assumptions!$B$33)</f>
        <v>7.4890943569367767</v>
      </c>
      <c r="Z87" s="105">
        <f>Z$38+IF(Z$35=0,0,($C87*$D87*Z$35)-Z$36-MAX(0,($C87*$D87*Z$35)-Z$36-Z$37)*Assumptions!$B$33)</f>
        <v>7.5677114711581837</v>
      </c>
      <c r="AA87" s="105">
        <f>AA$38+IF(AA$35=0,0,($C87*$D87*AA$35)-AA$36-MAX(0,($C87*$D87*AA$35)-AA$36-AA$37)*Assumptions!$B$33)</f>
        <v>7.6469012630589308</v>
      </c>
      <c r="AB87" s="105">
        <f>AB$38+IF(AB$35=0,0,($C87*$D87*AB$35)-AB$36-MAX(0,($C87*$D87*AB$35)-AB$36-AB$37)*Assumptions!$B$33)</f>
        <v>7.7266541254331909</v>
      </c>
    </row>
    <row r="88" spans="1:28" outlineLevel="1" x14ac:dyDescent="0.3">
      <c r="A88" s="100">
        <f t="shared" si="7"/>
        <v>48</v>
      </c>
      <c r="B88" s="101" cm="1">
        <f t="array" ref="B88">INDEX($B$12:$B$18,ROUNDUP((ROW()-40)/7,0))</f>
        <v>0.25500000000000006</v>
      </c>
      <c r="C88" s="102">
        <f>Assumptions!$B$10*$B88</f>
        <v>111.69000000000003</v>
      </c>
      <c r="D88" s="103" cm="1">
        <f t="array" ref="D88">INDEX($C$11:$I$11,MOD(ROW()-41,7)+1)</f>
        <v>8.500000000000002E-2</v>
      </c>
      <c r="E88" s="101">
        <f t="shared" si="8"/>
        <v>0.10330130255804715</v>
      </c>
      <c r="F88" s="104">
        <f>H88+NPV(Assumptions!$B$34,I88:AB88)</f>
        <v>1.4144632688542629</v>
      </c>
      <c r="H88" s="105">
        <f>H$38+IF(H$35=0,0,($C88*$D88*H$35)-H$36-MAX(0,($C88*$D88*H$35)-H$36-H$37)*Assumptions!$B$33)</f>
        <v>-60</v>
      </c>
      <c r="I88" s="105">
        <f>I$38+IF(I$35=0,0,($C88*$D88*I$35)-I$36-MAX(0,($C88*$D88*I$35)-I$36-I$37)*Assumptions!$B$33)</f>
        <v>6.7055550000000039</v>
      </c>
      <c r="J88" s="105">
        <f>J$38+IF(J$35=0,0,($C88*$D88*J$35)-J$36-MAX(0,($C88*$D88*J$35)-J$36-J$37)*Assumptions!$B$33)</f>
        <v>6.7800383250000014</v>
      </c>
      <c r="K88" s="105">
        <f>K$38+IF(K$35=0,0,($C88*$D88*K$35)-K$36-MAX(0,($C88*$D88*K$35)-K$36-K$37)*Assumptions!$B$33)</f>
        <v>6.8552608998750015</v>
      </c>
      <c r="L88" s="105">
        <f>L$38+IF(L$35=0,0,($C88*$D88*L$35)-L$36-MAX(0,($C88*$D88*L$35)-L$36-L$37)*Assumptions!$B$33)</f>
        <v>6.9312224733731247</v>
      </c>
      <c r="M88" s="105">
        <f>M$38+IF(M$35=0,0,($C88*$D88*M$35)-M$36-MAX(0,($C88*$D88*M$35)-M$36-M$37)*Assumptions!$B$33)</f>
        <v>7.0079224502737221</v>
      </c>
      <c r="N88" s="105">
        <f>N$38+IF(N$35=0,0,($C88*$D88*N$35)-N$36-MAX(0,($C88*$D88*N$35)-N$36-N$37)*Assumptions!$B$33)</f>
        <v>7.085359876021827</v>
      </c>
      <c r="O88" s="105">
        <f>O$38+IF(O$35=0,0,($C88*$D88*O$35)-O$36-MAX(0,($C88*$D88*O$35)-O$36-O$37)*Assumptions!$B$33)</f>
        <v>7.1635334208259724</v>
      </c>
      <c r="P88" s="105">
        <f>P$38+IF(P$35=0,0,($C88*$D88*P$35)-P$36-MAX(0,($C88*$D88*P$35)-P$36-P$37)*Assumptions!$B$33)</f>
        <v>7.2424413632020954</v>
      </c>
      <c r="Q88" s="105">
        <f>Q$38+IF(Q$35=0,0,($C88*$D88*Q$35)-Q$36-MAX(0,($C88*$D88*Q$35)-Q$36-Q$37)*Assumptions!$B$33)</f>
        <v>7.3220815729457724</v>
      </c>
      <c r="R88" s="105">
        <f>R$38+IF(R$35=0,0,($C88*$D88*R$35)-R$36-MAX(0,($C88*$D88*R$35)-R$36-R$37)*Assumptions!$B$33)</f>
        <v>7.4024514935144747</v>
      </c>
      <c r="S88" s="105">
        <f>S$38+IF(S$35=0,0,($C88*$D88*S$35)-S$36-MAX(0,($C88*$D88*S$35)-S$36-S$37)*Assumptions!$B$33)</f>
        <v>7.4835481238009427</v>
      </c>
      <c r="T88" s="105">
        <f>T$38+IF(T$35=0,0,($C88*$D88*T$35)-T$36-MAX(0,($C88*$D88*T$35)-T$36-T$37)*Assumptions!$B$33)</f>
        <v>7.5653679992782195</v>
      </c>
      <c r="U88" s="105">
        <f>U$38+IF(U$35=0,0,($C88*$D88*U$35)-U$36-MAX(0,($C88*$D88*U$35)-U$36-U$37)*Assumptions!$B$33)</f>
        <v>7.6479071724962626</v>
      </c>
      <c r="V88" s="105">
        <f>V$38+IF(V$35=0,0,($C88*$D88*V$35)-V$36-MAX(0,($C88*$D88*V$35)-V$36-V$37)*Assumptions!$B$33)</f>
        <v>7.731161192909445</v>
      </c>
      <c r="W88" s="105">
        <f>W$38+IF(W$35=0,0,($C88*$D88*W$35)-W$36-MAX(0,($C88*$D88*W$35)-W$36-W$37)*Assumptions!$B$33)</f>
        <v>7.8151250860135946</v>
      </c>
      <c r="X88" s="105">
        <f>X$38+IF(X$35=0,0,($C88*$D88*X$35)-X$36-MAX(0,($C88*$D88*X$35)-X$36-X$37)*Assumptions!$B$33)</f>
        <v>7.8997933317706241</v>
      </c>
      <c r="Y88" s="105">
        <f>Y$38+IF(Y$35=0,0,($C88*$D88*Y$35)-Y$36-MAX(0,($C88*$D88*Y$35)-Y$36-Y$37)*Assumptions!$B$33)</f>
        <v>7.9851598422980121</v>
      </c>
      <c r="Z88" s="105">
        <f>Z$38+IF(Z$35=0,0,($C88*$D88*Z$35)-Z$36-MAX(0,($C88*$D88*Z$35)-Z$36-Z$37)*Assumptions!$B$33)</f>
        <v>8.0712179387998368</v>
      </c>
      <c r="AA88" s="105">
        <f>AA$38+IF(AA$35=0,0,($C88*$D88*AA$35)-AA$36-MAX(0,($C88*$D88*AA$35)-AA$36-AA$37)*Assumptions!$B$33)</f>
        <v>8.1579603277152088</v>
      </c>
      <c r="AB88" s="105">
        <f>AB$38+IF(AB$35=0,0,($C88*$D88*AB$35)-AB$36-MAX(0,($C88*$D88*AB$35)-AB$36-AB$37)*Assumptions!$B$33)</f>
        <v>8.2453790760593133</v>
      </c>
    </row>
    <row r="89" spans="1:28" outlineLevel="1" x14ac:dyDescent="0.3">
      <c r="A89" s="100">
        <f t="shared" si="7"/>
        <v>49</v>
      </c>
      <c r="B89" s="101" cm="1">
        <f t="array" ref="B89">INDEX($B$12:$B$18,ROUNDUP((ROW()-40)/7,0))</f>
        <v>0.25500000000000006</v>
      </c>
      <c r="C89" s="102">
        <f>Assumptions!$B$10*$B89</f>
        <v>111.69000000000003</v>
      </c>
      <c r="D89" s="103" cm="1">
        <f t="array" ref="D89">INDEX($C$11:$I$11,MOD(ROW()-41,7)+1)</f>
        <v>9.0000000000000024E-2</v>
      </c>
      <c r="E89" s="101">
        <f t="shared" si="8"/>
        <v>0.11174133029906352</v>
      </c>
      <c r="F89" s="104">
        <f>H89+NPV(Assumptions!$B$34,I89:AB89)</f>
        <v>5.0927369631268959</v>
      </c>
      <c r="H89" s="105">
        <f>H$38+IF(H$35=0,0,($C89*$D89*H$35)-H$36-MAX(0,($C89*$D89*H$35)-H$36-H$37)*Assumptions!$B$33)</f>
        <v>-60</v>
      </c>
      <c r="I89" s="105">
        <f>I$38+IF(I$35=0,0,($C89*$D89*I$35)-I$36-MAX(0,($C89*$D89*I$35)-I$36-I$37)*Assumptions!$B$33)</f>
        <v>7.0964700000000036</v>
      </c>
      <c r="J89" s="105">
        <f>J$38+IF(J$35=0,0,($C89*$D89*J$35)-J$36-MAX(0,($C89*$D89*J$35)-J$36-J$37)*Assumptions!$B$33)</f>
        <v>7.1768170500000021</v>
      </c>
      <c r="K89" s="105">
        <f>K$38+IF(K$35=0,0,($C89*$D89*K$35)-K$36-MAX(0,($C89*$D89*K$35)-K$36-K$37)*Assumptions!$B$33)</f>
        <v>7.2579913057500018</v>
      </c>
      <c r="L89" s="105">
        <f>L$38+IF(L$35=0,0,($C89*$D89*L$35)-L$36-MAX(0,($C89*$D89*L$35)-L$36-L$37)*Assumptions!$B$33)</f>
        <v>7.3399938353362515</v>
      </c>
      <c r="M89" s="105">
        <f>M$38+IF(M$35=0,0,($C89*$D89*M$35)-M$36-MAX(0,($C89*$D89*M$35)-M$36-M$37)*Assumptions!$B$33)</f>
        <v>7.4228253826662938</v>
      </c>
      <c r="N89" s="105">
        <f>N$38+IF(N$35=0,0,($C89*$D89*N$35)-N$36-MAX(0,($C89*$D89*N$35)-N$36-N$37)*Assumptions!$B$33)</f>
        <v>7.5064863524002874</v>
      </c>
      <c r="O89" s="105">
        <f>O$38+IF(O$35=0,0,($C89*$D89*O$35)-O$36-MAX(0,($C89*$D89*O$35)-O$36-O$37)*Assumptions!$B$33)</f>
        <v>7.5909767943501105</v>
      </c>
      <c r="P89" s="105">
        <f>P$38+IF(P$35=0,0,($C89*$D89*P$35)-P$36-MAX(0,($C89*$D89*P$35)-P$36-P$37)*Assumptions!$B$33)</f>
        <v>7.6762963873290948</v>
      </c>
      <c r="Q89" s="105">
        <f>Q$38+IF(Q$35=0,0,($C89*$D89*Q$35)-Q$36-MAX(0,($C89*$D89*Q$35)-Q$36-Q$37)*Assumptions!$B$33)</f>
        <v>7.7624444224346769</v>
      </c>
      <c r="R89" s="105">
        <f>R$38+IF(R$35=0,0,($C89*$D89*R$35)-R$36-MAX(0,($C89*$D89*R$35)-R$36-R$37)*Assumptions!$B$33)</f>
        <v>7.8494197857457131</v>
      </c>
      <c r="S89" s="105">
        <f>S$38+IF(S$35=0,0,($C89*$D89*S$35)-S$36-MAX(0,($C89*$D89*S$35)-S$36-S$37)*Assumptions!$B$33)</f>
        <v>7.9372209404156493</v>
      </c>
      <c r="T89" s="105">
        <f>T$38+IF(T$35=0,0,($C89*$D89*T$35)-T$36-MAX(0,($C89*$D89*T$35)-T$36-T$37)*Assumptions!$B$33)</f>
        <v>8.0258459081421449</v>
      </c>
      <c r="U89" s="105">
        <f>U$38+IF(U$35=0,0,($C89*$D89*U$35)-U$36-MAX(0,($C89*$D89*U$35)-U$36-U$37)*Assumptions!$B$33)</f>
        <v>8.1152922499931481</v>
      </c>
      <c r="V89" s="105">
        <f>V$38+IF(V$35=0,0,($C89*$D89*V$35)-V$36-MAX(0,($C89*$D89*V$35)-V$36-V$37)*Assumptions!$B$33)</f>
        <v>8.2055570465687833</v>
      </c>
      <c r="W89" s="105">
        <f>W$38+IF(W$35=0,0,($C89*$D89*W$35)-W$36-MAX(0,($C89*$D89*W$35)-W$36-W$37)*Assumptions!$B$33)</f>
        <v>8.2966368774778232</v>
      </c>
      <c r="X89" s="105">
        <f>X$38+IF(X$35=0,0,($C89*$D89*X$35)-X$36-MAX(0,($C89*$D89*X$35)-X$36-X$37)*Assumptions!$B$33)</f>
        <v>8.3885278001068162</v>
      </c>
      <c r="Y89" s="105">
        <f>Y$38+IF(Y$35=0,0,($C89*$D89*Y$35)-Y$36-MAX(0,($C89*$D89*Y$35)-Y$36-Y$37)*Assumptions!$B$33)</f>
        <v>8.4812253276592457</v>
      </c>
      <c r="Z89" s="105">
        <f>Z$38+IF(Z$35=0,0,($C89*$D89*Z$35)-Z$36-MAX(0,($C89*$D89*Z$35)-Z$36-Z$37)*Assumptions!$B$33)</f>
        <v>8.57472440644149</v>
      </c>
      <c r="AA89" s="105">
        <f>AA$38+IF(AA$35=0,0,($C89*$D89*AA$35)-AA$36-MAX(0,($C89*$D89*AA$35)-AA$36-AA$37)*Assumptions!$B$33)</f>
        <v>8.6690193923714887</v>
      </c>
      <c r="AB89" s="105">
        <f>AB$38+IF(AB$35=0,0,($C89*$D89*AB$35)-AB$36-MAX(0,($C89*$D89*AB$35)-AB$36-AB$37)*Assumptions!$B$33)</f>
        <v>8.7641040266854358</v>
      </c>
    </row>
    <row r="90" spans="1:28" outlineLevel="1" x14ac:dyDescent="0.3"/>
    <row r="91" spans="1:28" outlineLevel="1" x14ac:dyDescent="0.3">
      <c r="A91" s="99" t="s">
        <v>251</v>
      </c>
      <c r="B91" s="99" t="s">
        <v>257</v>
      </c>
      <c r="C91" s="99" t="s">
        <v>252</v>
      </c>
      <c r="D91" s="99" t="s">
        <v>253</v>
      </c>
      <c r="E91" s="99" t="s">
        <v>254</v>
      </c>
      <c r="F91" s="99" t="s">
        <v>238</v>
      </c>
      <c r="H91" s="98" t="s">
        <v>258</v>
      </c>
    </row>
    <row r="92" spans="1:28" outlineLevel="1" x14ac:dyDescent="0.3">
      <c r="A92" s="100">
        <f>ROW()-91</f>
        <v>1</v>
      </c>
      <c r="B92" s="102" cm="1">
        <f t="array" ref="B92">INDEX($M$11:$S$11,MOD(ROW()-92,7)+1)</f>
        <v>45</v>
      </c>
      <c r="C92" s="101" cm="1">
        <f t="array" ref="C92">INDEX($L$12:$L$18,ROUNDUP((ROW()-91)/7,0))</f>
        <v>0.16499999999999998</v>
      </c>
      <c r="D92" s="102">
        <f>Assumptions!$B$10*$C92</f>
        <v>72.27</v>
      </c>
      <c r="E92" s="103">
        <f>Assumptions!$B$23</f>
        <v>7.4999999999999997E-2</v>
      </c>
      <c r="F92" s="101">
        <f>IRR(H92:AB92)</f>
        <v>5.8445396917787829E-2</v>
      </c>
      <c r="H92" s="105">
        <f>IF(H$34=0,-$B92,IF(H$34&gt;Assumptions!$B$20,0,($D92*$E92*H$35)-H$36-MAX(0,($D92*$E92*H$35)-H$36-$B92/Assumptions!$B$31)*Assumptions!$B$33))</f>
        <v>-45</v>
      </c>
      <c r="I92" s="105">
        <f>IF(I$34=0,-$B92,IF(I$34&gt;Assumptions!$B$20,0,($D92*$E92*I$35)-I$36-MAX(0,($D92*$E92*I$35)-I$36-$B92/Assumptions!$B$31)*Assumptions!$B$33))</f>
        <v>3.6291749999999996</v>
      </c>
      <c r="J92" s="105">
        <f>IF(J$34=0,-$B92,IF(J$34&gt;Assumptions!$B$20,0,($D92*$E92*J$35)-J$36-MAX(0,($D92*$E92*J$35)-J$36-$B92/Assumptions!$B$31)*Assumptions!$B$33))</f>
        <v>3.6608876249999991</v>
      </c>
      <c r="K92" s="105">
        <f>IF(K$34=0,-$B92,IF(K$34&gt;Assumptions!$B$20,0,($D92*$E92*K$35)-K$36-MAX(0,($D92*$E92*K$35)-K$36-$B92/Assumptions!$B$31)*Assumptions!$B$33))</f>
        <v>3.6926979393749986</v>
      </c>
      <c r="L92" s="105">
        <f>IF(L$34=0,-$B92,IF(L$34&gt;Assumptions!$B$20,0,($D92*$E92*L$35)-L$36-MAX(0,($D92*$E92*L$35)-L$36-$B92/Assumptions!$B$31)*Assumptions!$B$33))</f>
        <v>3.7245960684656234</v>
      </c>
      <c r="M92" s="105">
        <f>IF(M$34=0,-$B92,IF(M$34&gt;Assumptions!$B$20,0,($D92*$E92*M$35)-M$36-MAX(0,($D92*$E92*M$35)-M$36-$B92/Assumptions!$B$31)*Assumptions!$B$33))</f>
        <v>3.7565716492926069</v>
      </c>
      <c r="N92" s="105">
        <f>IF(N$34=0,-$B92,IF(N$34&gt;Assumptions!$B$20,0,($D92*$E92*N$35)-N$36-MAX(0,($D92*$E92*N$35)-N$36-$B92/Assumptions!$B$31)*Assumptions!$B$33))</f>
        <v>3.7886138130259952</v>
      </c>
      <c r="O92" s="105">
        <f>IF(O$34=0,-$B92,IF(O$34&gt;Assumptions!$B$20,0,($D92*$E92*O$35)-O$36-MAX(0,($D92*$E92*O$35)-O$36-$B92/Assumptions!$B$31)*Assumptions!$B$33))</f>
        <v>3.8207111668852045</v>
      </c>
      <c r="P92" s="105">
        <f>IF(P$34=0,-$B92,IF(P$34&gt;Assumptions!$B$20,0,($D92*$E92*P$35)-P$36-MAX(0,($D92*$E92*P$35)-P$36-$B92/Assumptions!$B$31)*Assumptions!$B$33))</f>
        <v>3.8528517754522165</v>
      </c>
      <c r="Q92" s="105">
        <f>IF(Q$34=0,-$B92,IF(Q$34&gt;Assumptions!$B$20,0,($D92*$E92*Q$35)-Q$36-MAX(0,($D92*$E92*Q$35)-Q$36-$B92/Assumptions!$B$31)*Assumptions!$B$33))</f>
        <v>3.8850231413796461</v>
      </c>
      <c r="R92" s="105">
        <f>IF(R$34=0,-$B92,IF(R$34&gt;Assumptions!$B$20,0,($D92*$E92*R$35)-R$36-MAX(0,($D92*$E92*R$35)-R$36-$B92/Assumptions!$B$31)*Assumptions!$B$33))</f>
        <v>3.9172121854748565</v>
      </c>
      <c r="S92" s="105">
        <f>IF(S$34=0,-$B92,IF(S$34&gt;Assumptions!$B$20,0,($D92*$E92*S$35)-S$36-MAX(0,($D92*$E92*S$35)-S$36-$B92/Assumptions!$B$31)*Assumptions!$B$33))</f>
        <v>3.9494052261407302</v>
      </c>
      <c r="T92" s="105">
        <f>IF(T$34=0,-$B92,IF(T$34&gt;Assumptions!$B$20,0,($D92*$E92*T$35)-T$36-MAX(0,($D92*$E92*T$35)-T$36-$B92/Assumptions!$B$31)*Assumptions!$B$33))</f>
        <v>3.9815879581531046</v>
      </c>
      <c r="U92" s="105">
        <f>IF(U$34=0,-$B92,IF(U$34&gt;Assumptions!$B$20,0,($D92*$E92*U$35)-U$36-MAX(0,($D92*$E92*U$35)-U$36-$B92/Assumptions!$B$31)*Assumptions!$B$33))</f>
        <v>4.0137454307542724</v>
      </c>
      <c r="V92" s="105">
        <f>IF(V$34=0,-$B92,IF(V$34&gt;Assumptions!$B$20,0,($D92*$E92*V$35)-V$36-MAX(0,($D92*$E92*V$35)-V$36-$B92/Assumptions!$B$31)*Assumptions!$B$33))</f>
        <v>4.0458620250413251</v>
      </c>
      <c r="W92" s="105">
        <f>IF(W$34=0,-$B92,IF(W$34&gt;Assumptions!$B$20,0,($D92*$E92*W$35)-W$36-MAX(0,($D92*$E92*W$35)-W$36-$B92/Assumptions!$B$31)*Assumptions!$B$33))</f>
        <v>4.0779214306274536</v>
      </c>
      <c r="X92" s="105">
        <f>IF(X$34=0,-$B92,IF(X$34&gt;Assumptions!$B$20,0,($D92*$E92*X$35)-X$36-MAX(0,($D92*$E92*X$35)-X$36-$B92/Assumptions!$B$31)*Assumptions!$B$33))</f>
        <v>4.1099066215536899</v>
      </c>
      <c r="Y92" s="105">
        <f>IF(Y$34=0,-$B92,IF(Y$34&gt;Assumptions!$B$20,0,($D92*$E92*Y$35)-Y$36-MAX(0,($D92*$E92*Y$35)-Y$36-$B92/Assumptions!$B$31)*Assumptions!$B$33))</f>
        <v>4.141799831427825</v>
      </c>
      <c r="Z92" s="105">
        <f>IF(Z$34=0,-$B92,IF(Z$34&gt;Assumptions!$B$20,0,($D92*$E92*Z$35)-Z$36-MAX(0,($D92*$E92*Z$35)-Z$36-$B92/Assumptions!$B$31)*Assumptions!$B$33))</f>
        <v>4.1735825277665972</v>
      </c>
      <c r="AA92" s="105">
        <f>IF(AA$34=0,-$B92,IF(AA$34&gt;Assumptions!$B$20,0,($D92*$E92*AA$35)-AA$36-MAX(0,($D92*$E92*AA$35)-AA$36-$B92/Assumptions!$B$31)*Assumptions!$B$33))</f>
        <v>4.2052353855164721</v>
      </c>
      <c r="AB92" s="105">
        <f>IF(AB$34=0,-$B92,IF(AB$34&gt;Assumptions!$B$20,0,($D92*$E92*AB$35)-AB$36-MAX(0,($D92*$E92*AB$35)-AB$36-$B92/Assumptions!$B$31)*Assumptions!$B$33))</f>
        <v>4.2367382597275958</v>
      </c>
    </row>
    <row r="93" spans="1:28" outlineLevel="1" x14ac:dyDescent="0.3">
      <c r="A93" s="100">
        <f t="shared" ref="A93:A140" si="9">ROW()-91</f>
        <v>2</v>
      </c>
      <c r="B93" s="102" cm="1">
        <f t="array" ref="B93">INDEX($M$11:$S$11,MOD(ROW()-92,7)+1)</f>
        <v>50</v>
      </c>
      <c r="C93" s="101" cm="1">
        <f t="array" ref="C93">INDEX($L$12:$L$18,ROUNDUP((ROW()-91)/7,0))</f>
        <v>0.16499999999999998</v>
      </c>
      <c r="D93" s="102">
        <f>Assumptions!$B$10*$C93</f>
        <v>72.27</v>
      </c>
      <c r="E93" s="103">
        <f>Assumptions!$B$23</f>
        <v>7.4999999999999997E-2</v>
      </c>
      <c r="F93" s="101">
        <f t="shared" ref="F93:F140" si="10">IRR(H93:AB93)</f>
        <v>4.841986259899711E-2</v>
      </c>
      <c r="H93" s="105">
        <f>IF(H$34=0,-$B93,IF(H$34&gt;Assumptions!$B$20,0,($D93*$E93*H$35)-H$36-MAX(0,($D93*$E93*H$35)-H$36-$B93/Assumptions!$B$31)*Assumptions!$B$33))</f>
        <v>-50</v>
      </c>
      <c r="I93" s="105">
        <f>IF(I$34=0,-$B93,IF(I$34&gt;Assumptions!$B$20,0,($D93*$E93*I$35)-I$36-MAX(0,($D93*$E93*I$35)-I$36-$B93/Assumptions!$B$31)*Assumptions!$B$33))</f>
        <v>3.7041749999999993</v>
      </c>
      <c r="J93" s="105">
        <f>IF(J$34=0,-$B93,IF(J$34&gt;Assumptions!$B$20,0,($D93*$E93*J$35)-J$36-MAX(0,($D93*$E93*J$35)-J$36-$B93/Assumptions!$B$31)*Assumptions!$B$33))</f>
        <v>3.7358876249999993</v>
      </c>
      <c r="K93" s="105">
        <f>IF(K$34=0,-$B93,IF(K$34&gt;Assumptions!$B$20,0,($D93*$E93*K$35)-K$36-MAX(0,($D93*$E93*K$35)-K$36-$B93/Assumptions!$B$31)*Assumptions!$B$33))</f>
        <v>3.7676979393749988</v>
      </c>
      <c r="L93" s="105">
        <f>IF(L$34=0,-$B93,IF(L$34&gt;Assumptions!$B$20,0,($D93*$E93*L$35)-L$36-MAX(0,($D93*$E93*L$35)-L$36-$B93/Assumptions!$B$31)*Assumptions!$B$33))</f>
        <v>3.7995960684656236</v>
      </c>
      <c r="M93" s="105">
        <f>IF(M$34=0,-$B93,IF(M$34&gt;Assumptions!$B$20,0,($D93*$E93*M$35)-M$36-MAX(0,($D93*$E93*M$35)-M$36-$B93/Assumptions!$B$31)*Assumptions!$B$33))</f>
        <v>3.8315716492926071</v>
      </c>
      <c r="N93" s="105">
        <f>IF(N$34=0,-$B93,IF(N$34&gt;Assumptions!$B$20,0,($D93*$E93*N$35)-N$36-MAX(0,($D93*$E93*N$35)-N$36-$B93/Assumptions!$B$31)*Assumptions!$B$33))</f>
        <v>3.8636138130259954</v>
      </c>
      <c r="O93" s="105">
        <f>IF(O$34=0,-$B93,IF(O$34&gt;Assumptions!$B$20,0,($D93*$E93*O$35)-O$36-MAX(0,($D93*$E93*O$35)-O$36-$B93/Assumptions!$B$31)*Assumptions!$B$33))</f>
        <v>3.8957111668852042</v>
      </c>
      <c r="P93" s="105">
        <f>IF(P$34=0,-$B93,IF(P$34&gt;Assumptions!$B$20,0,($D93*$E93*P$35)-P$36-MAX(0,($D93*$E93*P$35)-P$36-$B93/Assumptions!$B$31)*Assumptions!$B$33))</f>
        <v>3.9278517754522166</v>
      </c>
      <c r="Q93" s="105">
        <f>IF(Q$34=0,-$B93,IF(Q$34&gt;Assumptions!$B$20,0,($D93*$E93*Q$35)-Q$36-MAX(0,($D93*$E93*Q$35)-Q$36-$B93/Assumptions!$B$31)*Assumptions!$B$33))</f>
        <v>3.9600231413796463</v>
      </c>
      <c r="R93" s="105">
        <f>IF(R$34=0,-$B93,IF(R$34&gt;Assumptions!$B$20,0,($D93*$E93*R$35)-R$36-MAX(0,($D93*$E93*R$35)-R$36-$B93/Assumptions!$B$31)*Assumptions!$B$33))</f>
        <v>3.9922121854748567</v>
      </c>
      <c r="S93" s="105">
        <f>IF(S$34=0,-$B93,IF(S$34&gt;Assumptions!$B$20,0,($D93*$E93*S$35)-S$36-MAX(0,($D93*$E93*S$35)-S$36-$B93/Assumptions!$B$31)*Assumptions!$B$33))</f>
        <v>4.0244052261407299</v>
      </c>
      <c r="T93" s="105">
        <f>IF(T$34=0,-$B93,IF(T$34&gt;Assumptions!$B$20,0,($D93*$E93*T$35)-T$36-MAX(0,($D93*$E93*T$35)-T$36-$B93/Assumptions!$B$31)*Assumptions!$B$33))</f>
        <v>4.0565879581531048</v>
      </c>
      <c r="U93" s="105">
        <f>IF(U$34=0,-$B93,IF(U$34&gt;Assumptions!$B$20,0,($D93*$E93*U$35)-U$36-MAX(0,($D93*$E93*U$35)-U$36-$B93/Assumptions!$B$31)*Assumptions!$B$33))</f>
        <v>4.0887454307542725</v>
      </c>
      <c r="V93" s="105">
        <f>IF(V$34=0,-$B93,IF(V$34&gt;Assumptions!$B$20,0,($D93*$E93*V$35)-V$36-MAX(0,($D93*$E93*V$35)-V$36-$B93/Assumptions!$B$31)*Assumptions!$B$33))</f>
        <v>4.1208620250413244</v>
      </c>
      <c r="W93" s="105">
        <f>IF(W$34=0,-$B93,IF(W$34&gt;Assumptions!$B$20,0,($D93*$E93*W$35)-W$36-MAX(0,($D93*$E93*W$35)-W$36-$B93/Assumptions!$B$31)*Assumptions!$B$33))</f>
        <v>4.1529214306274529</v>
      </c>
      <c r="X93" s="105">
        <f>IF(X$34=0,-$B93,IF(X$34&gt;Assumptions!$B$20,0,($D93*$E93*X$35)-X$36-MAX(0,($D93*$E93*X$35)-X$36-$B93/Assumptions!$B$31)*Assumptions!$B$33))</f>
        <v>4.1849066215536901</v>
      </c>
      <c r="Y93" s="105">
        <f>IF(Y$34=0,-$B93,IF(Y$34&gt;Assumptions!$B$20,0,($D93*$E93*Y$35)-Y$36-MAX(0,($D93*$E93*Y$35)-Y$36-$B93/Assumptions!$B$31)*Assumptions!$B$33))</f>
        <v>4.2167998314278252</v>
      </c>
      <c r="Z93" s="105">
        <f>IF(Z$34=0,-$B93,IF(Z$34&gt;Assumptions!$B$20,0,($D93*$E93*Z$35)-Z$36-MAX(0,($D93*$E93*Z$35)-Z$36-$B93/Assumptions!$B$31)*Assumptions!$B$33))</f>
        <v>4.2485825277665974</v>
      </c>
      <c r="AA93" s="105">
        <f>IF(AA$34=0,-$B93,IF(AA$34&gt;Assumptions!$B$20,0,($D93*$E93*AA$35)-AA$36-MAX(0,($D93*$E93*AA$35)-AA$36-$B93/Assumptions!$B$31)*Assumptions!$B$33))</f>
        <v>4.2802353855164723</v>
      </c>
      <c r="AB93" s="105">
        <f>IF(AB$34=0,-$B93,IF(AB$34&gt;Assumptions!$B$20,0,($D93*$E93*AB$35)-AB$36-MAX(0,($D93*$E93*AB$35)-AB$36-$B93/Assumptions!$B$31)*Assumptions!$B$33))</f>
        <v>4.3117382597275959</v>
      </c>
    </row>
    <row r="94" spans="1:28" outlineLevel="1" x14ac:dyDescent="0.3">
      <c r="A94" s="100">
        <f t="shared" si="9"/>
        <v>3</v>
      </c>
      <c r="B94" s="102" cm="1">
        <f t="array" ref="B94">INDEX($M$11:$S$11,MOD(ROW()-92,7)+1)</f>
        <v>55</v>
      </c>
      <c r="C94" s="101" cm="1">
        <f t="array" ref="C94">INDEX($L$12:$L$18,ROUNDUP((ROW()-91)/7,0))</f>
        <v>0.16499999999999998</v>
      </c>
      <c r="D94" s="102">
        <f>Assumptions!$B$10*$C94</f>
        <v>72.27</v>
      </c>
      <c r="E94" s="103">
        <f>Assumptions!$B$23</f>
        <v>7.4999999999999997E-2</v>
      </c>
      <c r="F94" s="101">
        <f t="shared" si="10"/>
        <v>3.9859706352953106E-2</v>
      </c>
      <c r="H94" s="105">
        <f>IF(H$34=0,-$B94,IF(H$34&gt;Assumptions!$B$20,0,($D94*$E94*H$35)-H$36-MAX(0,($D94*$E94*H$35)-H$36-$B94/Assumptions!$B$31)*Assumptions!$B$33))</f>
        <v>-55</v>
      </c>
      <c r="I94" s="105">
        <f>IF(I$34=0,-$B94,IF(I$34&gt;Assumptions!$B$20,0,($D94*$E94*I$35)-I$36-MAX(0,($D94*$E94*I$35)-I$36-$B94/Assumptions!$B$31)*Assumptions!$B$33))</f>
        <v>3.7791749999999995</v>
      </c>
      <c r="J94" s="105">
        <f>IF(J$34=0,-$B94,IF(J$34&gt;Assumptions!$B$20,0,($D94*$E94*J$35)-J$36-MAX(0,($D94*$E94*J$35)-J$36-$B94/Assumptions!$B$31)*Assumptions!$B$33))</f>
        <v>3.810887624999999</v>
      </c>
      <c r="K94" s="105">
        <f>IF(K$34=0,-$B94,IF(K$34&gt;Assumptions!$B$20,0,($D94*$E94*K$35)-K$36-MAX(0,($D94*$E94*K$35)-K$36-$B94/Assumptions!$B$31)*Assumptions!$B$33))</f>
        <v>3.8426979393749985</v>
      </c>
      <c r="L94" s="105">
        <f>IF(L$34=0,-$B94,IF(L$34&gt;Assumptions!$B$20,0,($D94*$E94*L$35)-L$36-MAX(0,($D94*$E94*L$35)-L$36-$B94/Assumptions!$B$31)*Assumptions!$B$33))</f>
        <v>3.8745960684656233</v>
      </c>
      <c r="M94" s="105">
        <f>IF(M$34=0,-$B94,IF(M$34&gt;Assumptions!$B$20,0,($D94*$E94*M$35)-M$36-MAX(0,($D94*$E94*M$35)-M$36-$B94/Assumptions!$B$31)*Assumptions!$B$33))</f>
        <v>3.9065716492926068</v>
      </c>
      <c r="N94" s="105">
        <f>IF(N$34=0,-$B94,IF(N$34&gt;Assumptions!$B$20,0,($D94*$E94*N$35)-N$36-MAX(0,($D94*$E94*N$35)-N$36-$B94/Assumptions!$B$31)*Assumptions!$B$33))</f>
        <v>3.9386138130259951</v>
      </c>
      <c r="O94" s="105">
        <f>IF(O$34=0,-$B94,IF(O$34&gt;Assumptions!$B$20,0,($D94*$E94*O$35)-O$36-MAX(0,($D94*$E94*O$35)-O$36-$B94/Assumptions!$B$31)*Assumptions!$B$33))</f>
        <v>3.9707111668852044</v>
      </c>
      <c r="P94" s="105">
        <f>IF(P$34=0,-$B94,IF(P$34&gt;Assumptions!$B$20,0,($D94*$E94*P$35)-P$36-MAX(0,($D94*$E94*P$35)-P$36-$B94/Assumptions!$B$31)*Assumptions!$B$33))</f>
        <v>4.0028517754522168</v>
      </c>
      <c r="Q94" s="105">
        <f>IF(Q$34=0,-$B94,IF(Q$34&gt;Assumptions!$B$20,0,($D94*$E94*Q$35)-Q$36-MAX(0,($D94*$E94*Q$35)-Q$36-$B94/Assumptions!$B$31)*Assumptions!$B$33))</f>
        <v>4.0350231413796465</v>
      </c>
      <c r="R94" s="105">
        <f>IF(R$34=0,-$B94,IF(R$34&gt;Assumptions!$B$20,0,($D94*$E94*R$35)-R$36-MAX(0,($D94*$E94*R$35)-R$36-$B94/Assumptions!$B$31)*Assumptions!$B$33))</f>
        <v>4.0672121854748564</v>
      </c>
      <c r="S94" s="105">
        <f>IF(S$34=0,-$B94,IF(S$34&gt;Assumptions!$B$20,0,($D94*$E94*S$35)-S$36-MAX(0,($D94*$E94*S$35)-S$36-$B94/Assumptions!$B$31)*Assumptions!$B$33))</f>
        <v>4.0994052261407301</v>
      </c>
      <c r="T94" s="105">
        <f>IF(T$34=0,-$B94,IF(T$34&gt;Assumptions!$B$20,0,($D94*$E94*T$35)-T$36-MAX(0,($D94*$E94*T$35)-T$36-$B94/Assumptions!$B$31)*Assumptions!$B$33))</f>
        <v>4.131587958153105</v>
      </c>
      <c r="U94" s="105">
        <f>IF(U$34=0,-$B94,IF(U$34&gt;Assumptions!$B$20,0,($D94*$E94*U$35)-U$36-MAX(0,($D94*$E94*U$35)-U$36-$B94/Assumptions!$B$31)*Assumptions!$B$33))</f>
        <v>4.1637454307542727</v>
      </c>
      <c r="V94" s="105">
        <f>IF(V$34=0,-$B94,IF(V$34&gt;Assumptions!$B$20,0,($D94*$E94*V$35)-V$36-MAX(0,($D94*$E94*V$35)-V$36-$B94/Assumptions!$B$31)*Assumptions!$B$33))</f>
        <v>4.1958620250413246</v>
      </c>
      <c r="W94" s="105">
        <f>IF(W$34=0,-$B94,IF(W$34&gt;Assumptions!$B$20,0,($D94*$E94*W$35)-W$36-MAX(0,($D94*$E94*W$35)-W$36-$B94/Assumptions!$B$31)*Assumptions!$B$33))</f>
        <v>4.2279214306274531</v>
      </c>
      <c r="X94" s="105">
        <f>IF(X$34=0,-$B94,IF(X$34&gt;Assumptions!$B$20,0,($D94*$E94*X$35)-X$36-MAX(0,($D94*$E94*X$35)-X$36-$B94/Assumptions!$B$31)*Assumptions!$B$33))</f>
        <v>4.2599066215536903</v>
      </c>
      <c r="Y94" s="105">
        <f>IF(Y$34=0,-$B94,IF(Y$34&gt;Assumptions!$B$20,0,($D94*$E94*Y$35)-Y$36-MAX(0,($D94*$E94*Y$35)-Y$36-$B94/Assumptions!$B$31)*Assumptions!$B$33))</f>
        <v>4.2917998314278254</v>
      </c>
      <c r="Z94" s="105">
        <f>IF(Z$34=0,-$B94,IF(Z$34&gt;Assumptions!$B$20,0,($D94*$E94*Z$35)-Z$36-MAX(0,($D94*$E94*Z$35)-Z$36-$B94/Assumptions!$B$31)*Assumptions!$B$33))</f>
        <v>4.3235825277665967</v>
      </c>
      <c r="AA94" s="105">
        <f>IF(AA$34=0,-$B94,IF(AA$34&gt;Assumptions!$B$20,0,($D94*$E94*AA$35)-AA$36-MAX(0,($D94*$E94*AA$35)-AA$36-$B94/Assumptions!$B$31)*Assumptions!$B$33))</f>
        <v>4.3552353855164725</v>
      </c>
      <c r="AB94" s="105">
        <f>IF(AB$34=0,-$B94,IF(AB$34&gt;Assumptions!$B$20,0,($D94*$E94*AB$35)-AB$36-MAX(0,($D94*$E94*AB$35)-AB$36-$B94/Assumptions!$B$31)*Assumptions!$B$33))</f>
        <v>4.3867382597275961</v>
      </c>
    </row>
    <row r="95" spans="1:28" outlineLevel="1" x14ac:dyDescent="0.3">
      <c r="A95" s="100">
        <f t="shared" si="9"/>
        <v>4</v>
      </c>
      <c r="B95" s="102" cm="1">
        <f t="array" ref="B95">INDEX($M$11:$S$11,MOD(ROW()-92,7)+1)</f>
        <v>60</v>
      </c>
      <c r="C95" s="101" cm="1">
        <f t="array" ref="C95">INDEX($L$12:$L$18,ROUNDUP((ROW()-91)/7,0))</f>
        <v>0.16499999999999998</v>
      </c>
      <c r="D95" s="102">
        <f>Assumptions!$B$10*$C95</f>
        <v>72.27</v>
      </c>
      <c r="E95" s="103">
        <f>Assumptions!$B$23</f>
        <v>7.4999999999999997E-2</v>
      </c>
      <c r="F95" s="101">
        <f t="shared" si="10"/>
        <v>3.2438550061617111E-2</v>
      </c>
      <c r="H95" s="105">
        <f>IF(H$34=0,-$B95,IF(H$34&gt;Assumptions!$B$20,0,($D95*$E95*H$35)-H$36-MAX(0,($D95*$E95*H$35)-H$36-$B95/Assumptions!$B$31)*Assumptions!$B$33))</f>
        <v>-60</v>
      </c>
      <c r="I95" s="105">
        <f>IF(I$34=0,-$B95,IF(I$34&gt;Assumptions!$B$20,0,($D95*$E95*I$35)-I$36-MAX(0,($D95*$E95*I$35)-I$36-$B95/Assumptions!$B$31)*Assumptions!$B$33))</f>
        <v>3.8541749999999992</v>
      </c>
      <c r="J95" s="105">
        <f>IF(J$34=0,-$B95,IF(J$34&gt;Assumptions!$B$20,0,($D95*$E95*J$35)-J$36-MAX(0,($D95*$E95*J$35)-J$36-$B95/Assumptions!$B$31)*Assumptions!$B$33))</f>
        <v>3.8858876249999992</v>
      </c>
      <c r="K95" s="105">
        <f>IF(K$34=0,-$B95,IF(K$34&gt;Assumptions!$B$20,0,($D95*$E95*K$35)-K$36-MAX(0,($D95*$E95*K$35)-K$36-$B95/Assumptions!$B$31)*Assumptions!$B$33))</f>
        <v>3.9176979393749987</v>
      </c>
      <c r="L95" s="105">
        <f>IF(L$34=0,-$B95,IF(L$34&gt;Assumptions!$B$20,0,($D95*$E95*L$35)-L$36-MAX(0,($D95*$E95*L$35)-L$36-$B95/Assumptions!$B$31)*Assumptions!$B$33))</f>
        <v>3.9495960684656235</v>
      </c>
      <c r="M95" s="105">
        <f>IF(M$34=0,-$B95,IF(M$34&gt;Assumptions!$B$20,0,($D95*$E95*M$35)-M$36-MAX(0,($D95*$E95*M$35)-M$36-$B95/Assumptions!$B$31)*Assumptions!$B$33))</f>
        <v>3.981571649292607</v>
      </c>
      <c r="N95" s="105">
        <f>IF(N$34=0,-$B95,IF(N$34&gt;Assumptions!$B$20,0,($D95*$E95*N$35)-N$36-MAX(0,($D95*$E95*N$35)-N$36-$B95/Assumptions!$B$31)*Assumptions!$B$33))</f>
        <v>4.0136138130259953</v>
      </c>
      <c r="O95" s="105">
        <f>IF(O$34=0,-$B95,IF(O$34&gt;Assumptions!$B$20,0,($D95*$E95*O$35)-O$36-MAX(0,($D95*$E95*O$35)-O$36-$B95/Assumptions!$B$31)*Assumptions!$B$33))</f>
        <v>4.0457111668852042</v>
      </c>
      <c r="P95" s="105">
        <f>IF(P$34=0,-$B95,IF(P$34&gt;Assumptions!$B$20,0,($D95*$E95*P$35)-P$36-MAX(0,($D95*$E95*P$35)-P$36-$B95/Assumptions!$B$31)*Assumptions!$B$33))</f>
        <v>4.077851775452217</v>
      </c>
      <c r="Q95" s="105">
        <f>IF(Q$34=0,-$B95,IF(Q$34&gt;Assumptions!$B$20,0,($D95*$E95*Q$35)-Q$36-MAX(0,($D95*$E95*Q$35)-Q$36-$B95/Assumptions!$B$31)*Assumptions!$B$33))</f>
        <v>4.1100231413796466</v>
      </c>
      <c r="R95" s="105">
        <f>IF(R$34=0,-$B95,IF(R$34&gt;Assumptions!$B$20,0,($D95*$E95*R$35)-R$36-MAX(0,($D95*$E95*R$35)-R$36-$B95/Assumptions!$B$31)*Assumptions!$B$33))</f>
        <v>4.1422121854748566</v>
      </c>
      <c r="S95" s="105">
        <f>IF(S$34=0,-$B95,IF(S$34&gt;Assumptions!$B$20,0,($D95*$E95*S$35)-S$36-MAX(0,($D95*$E95*S$35)-S$36-$B95/Assumptions!$B$31)*Assumptions!$B$33))</f>
        <v>4.1744052261407303</v>
      </c>
      <c r="T95" s="105">
        <f>IF(T$34=0,-$B95,IF(T$34&gt;Assumptions!$B$20,0,($D95*$E95*T$35)-T$36-MAX(0,($D95*$E95*T$35)-T$36-$B95/Assumptions!$B$31)*Assumptions!$B$33))</f>
        <v>4.2065879581531052</v>
      </c>
      <c r="U95" s="105">
        <f>IF(U$34=0,-$B95,IF(U$34&gt;Assumptions!$B$20,0,($D95*$E95*U$35)-U$36-MAX(0,($D95*$E95*U$35)-U$36-$B95/Assumptions!$B$31)*Assumptions!$B$33))</f>
        <v>4.2387454307542729</v>
      </c>
      <c r="V95" s="105">
        <f>IF(V$34=0,-$B95,IF(V$34&gt;Assumptions!$B$20,0,($D95*$E95*V$35)-V$36-MAX(0,($D95*$E95*V$35)-V$36-$B95/Assumptions!$B$31)*Assumptions!$B$33))</f>
        <v>4.2708620250413247</v>
      </c>
      <c r="W95" s="105">
        <f>IF(W$34=0,-$B95,IF(W$34&gt;Assumptions!$B$20,0,($D95*$E95*W$35)-W$36-MAX(0,($D95*$E95*W$35)-W$36-$B95/Assumptions!$B$31)*Assumptions!$B$33))</f>
        <v>4.3029214306274532</v>
      </c>
      <c r="X95" s="105">
        <f>IF(X$34=0,-$B95,IF(X$34&gt;Assumptions!$B$20,0,($D95*$E95*X$35)-X$36-MAX(0,($D95*$E95*X$35)-X$36-$B95/Assumptions!$B$31)*Assumptions!$B$33))</f>
        <v>4.3349066215536904</v>
      </c>
      <c r="Y95" s="105">
        <f>IF(Y$34=0,-$B95,IF(Y$34&gt;Assumptions!$B$20,0,($D95*$E95*Y$35)-Y$36-MAX(0,($D95*$E95*Y$35)-Y$36-$B95/Assumptions!$B$31)*Assumptions!$B$33))</f>
        <v>4.3667998314278256</v>
      </c>
      <c r="Z95" s="105">
        <f>IF(Z$34=0,-$B95,IF(Z$34&gt;Assumptions!$B$20,0,($D95*$E95*Z$35)-Z$36-MAX(0,($D95*$E95*Z$35)-Z$36-$B95/Assumptions!$B$31)*Assumptions!$B$33))</f>
        <v>4.3985825277665969</v>
      </c>
      <c r="AA95" s="105">
        <f>IF(AA$34=0,-$B95,IF(AA$34&gt;Assumptions!$B$20,0,($D95*$E95*AA$35)-AA$36-MAX(0,($D95*$E95*AA$35)-AA$36-$B95/Assumptions!$B$31)*Assumptions!$B$33))</f>
        <v>4.4302353855164718</v>
      </c>
      <c r="AB95" s="105">
        <f>IF(AB$34=0,-$B95,IF(AB$34&gt;Assumptions!$B$20,0,($D95*$E95*AB$35)-AB$36-MAX(0,($D95*$E95*AB$35)-AB$36-$B95/Assumptions!$B$31)*Assumptions!$B$33))</f>
        <v>4.4617382597275954</v>
      </c>
    </row>
    <row r="96" spans="1:28" outlineLevel="1" x14ac:dyDescent="0.3">
      <c r="A96" s="100">
        <f t="shared" si="9"/>
        <v>5</v>
      </c>
      <c r="B96" s="102" cm="1">
        <f t="array" ref="B96">INDEX($M$11:$S$11,MOD(ROW()-92,7)+1)</f>
        <v>65</v>
      </c>
      <c r="C96" s="101" cm="1">
        <f t="array" ref="C96">INDEX($L$12:$L$18,ROUNDUP((ROW()-91)/7,0))</f>
        <v>0.16499999999999998</v>
      </c>
      <c r="D96" s="102">
        <f>Assumptions!$B$10*$C96</f>
        <v>72.27</v>
      </c>
      <c r="E96" s="103">
        <f>Assumptions!$B$23</f>
        <v>7.4999999999999997E-2</v>
      </c>
      <c r="F96" s="101">
        <f t="shared" si="10"/>
        <v>2.5924153181407172E-2</v>
      </c>
      <c r="H96" s="105">
        <f>IF(H$34=0,-$B96,IF(H$34&gt;Assumptions!$B$20,0,($D96*$E96*H$35)-H$36-MAX(0,($D96*$E96*H$35)-H$36-$B96/Assumptions!$B$31)*Assumptions!$B$33))</f>
        <v>-65</v>
      </c>
      <c r="I96" s="105">
        <f>IF(I$34=0,-$B96,IF(I$34&gt;Assumptions!$B$20,0,($D96*$E96*I$35)-I$36-MAX(0,($D96*$E96*I$35)-I$36-$B96/Assumptions!$B$31)*Assumptions!$B$33))</f>
        <v>3.9291749999999994</v>
      </c>
      <c r="J96" s="105">
        <f>IF(J$34=0,-$B96,IF(J$34&gt;Assumptions!$B$20,0,($D96*$E96*J$35)-J$36-MAX(0,($D96*$E96*J$35)-J$36-$B96/Assumptions!$B$31)*Assumptions!$B$33))</f>
        <v>3.9608876249999989</v>
      </c>
      <c r="K96" s="105">
        <f>IF(K$34=0,-$B96,IF(K$34&gt;Assumptions!$B$20,0,($D96*$E96*K$35)-K$36-MAX(0,($D96*$E96*K$35)-K$36-$B96/Assumptions!$B$31)*Assumptions!$B$33))</f>
        <v>3.9926979393749984</v>
      </c>
      <c r="L96" s="105">
        <f>IF(L$34=0,-$B96,IF(L$34&gt;Assumptions!$B$20,0,($D96*$E96*L$35)-L$36-MAX(0,($D96*$E96*L$35)-L$36-$B96/Assumptions!$B$31)*Assumptions!$B$33))</f>
        <v>4.0245960684656232</v>
      </c>
      <c r="M96" s="105">
        <f>IF(M$34=0,-$B96,IF(M$34&gt;Assumptions!$B$20,0,($D96*$E96*M$35)-M$36-MAX(0,($D96*$E96*M$35)-M$36-$B96/Assumptions!$B$31)*Assumptions!$B$33))</f>
        <v>4.0565716492926072</v>
      </c>
      <c r="N96" s="105">
        <f>IF(N$34=0,-$B96,IF(N$34&gt;Assumptions!$B$20,0,($D96*$E96*N$35)-N$36-MAX(0,($D96*$E96*N$35)-N$36-$B96/Assumptions!$B$31)*Assumptions!$B$33))</f>
        <v>4.0886138130259955</v>
      </c>
      <c r="O96" s="105">
        <f>IF(O$34=0,-$B96,IF(O$34&gt;Assumptions!$B$20,0,($D96*$E96*O$35)-O$36-MAX(0,($D96*$E96*O$35)-O$36-$B96/Assumptions!$B$31)*Assumptions!$B$33))</f>
        <v>4.1207111668852043</v>
      </c>
      <c r="P96" s="105">
        <f>IF(P$34=0,-$B96,IF(P$34&gt;Assumptions!$B$20,0,($D96*$E96*P$35)-P$36-MAX(0,($D96*$E96*P$35)-P$36-$B96/Assumptions!$B$31)*Assumptions!$B$33))</f>
        <v>4.1528517754522163</v>
      </c>
      <c r="Q96" s="105">
        <f>IF(Q$34=0,-$B96,IF(Q$34&gt;Assumptions!$B$20,0,($D96*$E96*Q$35)-Q$36-MAX(0,($D96*$E96*Q$35)-Q$36-$B96/Assumptions!$B$31)*Assumptions!$B$33))</f>
        <v>4.1850231413796459</v>
      </c>
      <c r="R96" s="105">
        <f>IF(R$34=0,-$B96,IF(R$34&gt;Assumptions!$B$20,0,($D96*$E96*R$35)-R$36-MAX(0,($D96*$E96*R$35)-R$36-$B96/Assumptions!$B$31)*Assumptions!$B$33))</f>
        <v>4.2172121854748568</v>
      </c>
      <c r="S96" s="105">
        <f>IF(S$34=0,-$B96,IF(S$34&gt;Assumptions!$B$20,0,($D96*$E96*S$35)-S$36-MAX(0,($D96*$E96*S$35)-S$36-$B96/Assumptions!$B$31)*Assumptions!$B$33))</f>
        <v>4.2494052261407305</v>
      </c>
      <c r="T96" s="105">
        <f>IF(T$34=0,-$B96,IF(T$34&gt;Assumptions!$B$20,0,($D96*$E96*T$35)-T$36-MAX(0,($D96*$E96*T$35)-T$36-$B96/Assumptions!$B$31)*Assumptions!$B$33))</f>
        <v>4.2815879581531044</v>
      </c>
      <c r="U96" s="105">
        <f>IF(U$34=0,-$B96,IF(U$34&gt;Assumptions!$B$20,0,($D96*$E96*U$35)-U$36-MAX(0,($D96*$E96*U$35)-U$36-$B96/Assumptions!$B$31)*Assumptions!$B$33))</f>
        <v>4.3137454307542722</v>
      </c>
      <c r="V96" s="105">
        <f>IF(V$34=0,-$B96,IF(V$34&gt;Assumptions!$B$20,0,($D96*$E96*V$35)-V$36-MAX(0,($D96*$E96*V$35)-V$36-$B96/Assumptions!$B$31)*Assumptions!$B$33))</f>
        <v>4.3458620250413249</v>
      </c>
      <c r="W96" s="105">
        <f>IF(W$34=0,-$B96,IF(W$34&gt;Assumptions!$B$20,0,($D96*$E96*W$35)-W$36-MAX(0,($D96*$E96*W$35)-W$36-$B96/Assumptions!$B$31)*Assumptions!$B$33))</f>
        <v>4.3779214306274534</v>
      </c>
      <c r="X96" s="105">
        <f>IF(X$34=0,-$B96,IF(X$34&gt;Assumptions!$B$20,0,($D96*$E96*X$35)-X$36-MAX(0,($D96*$E96*X$35)-X$36-$B96/Assumptions!$B$31)*Assumptions!$B$33))</f>
        <v>4.4099066215536897</v>
      </c>
      <c r="Y96" s="105">
        <f>IF(Y$34=0,-$B96,IF(Y$34&gt;Assumptions!$B$20,0,($D96*$E96*Y$35)-Y$36-MAX(0,($D96*$E96*Y$35)-Y$36-$B96/Assumptions!$B$31)*Assumptions!$B$33))</f>
        <v>4.4417998314278258</v>
      </c>
      <c r="Z96" s="105">
        <f>IF(Z$34=0,-$B96,IF(Z$34&gt;Assumptions!$B$20,0,($D96*$E96*Z$35)-Z$36-MAX(0,($D96*$E96*Z$35)-Z$36-$B96/Assumptions!$B$31)*Assumptions!$B$33))</f>
        <v>4.473582527766597</v>
      </c>
      <c r="AA96" s="105">
        <f>IF(AA$34=0,-$B96,IF(AA$34&gt;Assumptions!$B$20,0,($D96*$E96*AA$35)-AA$36-MAX(0,($D96*$E96*AA$35)-AA$36-$B96/Assumptions!$B$31)*Assumptions!$B$33))</f>
        <v>4.505235385516472</v>
      </c>
      <c r="AB96" s="105">
        <f>IF(AB$34=0,-$B96,IF(AB$34&gt;Assumptions!$B$20,0,($D96*$E96*AB$35)-AB$36-MAX(0,($D96*$E96*AB$35)-AB$36-$B96/Assumptions!$B$31)*Assumptions!$B$33))</f>
        <v>4.5367382597275956</v>
      </c>
    </row>
    <row r="97" spans="1:28" outlineLevel="1" x14ac:dyDescent="0.3">
      <c r="A97" s="100">
        <f t="shared" si="9"/>
        <v>6</v>
      </c>
      <c r="B97" s="102" cm="1">
        <f t="array" ref="B97">INDEX($M$11:$S$11,MOD(ROW()-92,7)+1)</f>
        <v>70</v>
      </c>
      <c r="C97" s="101" cm="1">
        <f t="array" ref="C97">INDEX($L$12:$L$18,ROUNDUP((ROW()-91)/7,0))</f>
        <v>0.16499999999999998</v>
      </c>
      <c r="D97" s="102">
        <f>Assumptions!$B$10*$C97</f>
        <v>72.27</v>
      </c>
      <c r="E97" s="103">
        <f>Assumptions!$B$23</f>
        <v>7.4999999999999997E-2</v>
      </c>
      <c r="F97" s="101">
        <f t="shared" si="10"/>
        <v>2.0146042733102831E-2</v>
      </c>
      <c r="H97" s="105">
        <f>IF(H$34=0,-$B97,IF(H$34&gt;Assumptions!$B$20,0,($D97*$E97*H$35)-H$36-MAX(0,($D97*$E97*H$35)-H$36-$B97/Assumptions!$B$31)*Assumptions!$B$33))</f>
        <v>-70</v>
      </c>
      <c r="I97" s="105">
        <f>IF(I$34=0,-$B97,IF(I$34&gt;Assumptions!$B$20,0,($D97*$E97*I$35)-I$36-MAX(0,($D97*$E97*I$35)-I$36-$B97/Assumptions!$B$31)*Assumptions!$B$33))</f>
        <v>4.0041749999999992</v>
      </c>
      <c r="J97" s="105">
        <f>IF(J$34=0,-$B97,IF(J$34&gt;Assumptions!$B$20,0,($D97*$E97*J$35)-J$36-MAX(0,($D97*$E97*J$35)-J$36-$B97/Assumptions!$B$31)*Assumptions!$B$33))</f>
        <v>4.0358876249999991</v>
      </c>
      <c r="K97" s="105">
        <f>IF(K$34=0,-$B97,IF(K$34&gt;Assumptions!$B$20,0,($D97*$E97*K$35)-K$36-MAX(0,($D97*$E97*K$35)-K$36-$B97/Assumptions!$B$31)*Assumptions!$B$33))</f>
        <v>4.0676979393749981</v>
      </c>
      <c r="L97" s="105">
        <f>IF(L$34=0,-$B97,IF(L$34&gt;Assumptions!$B$20,0,($D97*$E97*L$35)-L$36-MAX(0,($D97*$E97*L$35)-L$36-$B97/Assumptions!$B$31)*Assumptions!$B$33))</f>
        <v>4.0995960684656234</v>
      </c>
      <c r="M97" s="105">
        <f>IF(M$34=0,-$B97,IF(M$34&gt;Assumptions!$B$20,0,($D97*$E97*M$35)-M$36-MAX(0,($D97*$E97*M$35)-M$36-$B97/Assumptions!$B$31)*Assumptions!$B$33))</f>
        <v>4.1315716492926073</v>
      </c>
      <c r="N97" s="105">
        <f>IF(N$34=0,-$B97,IF(N$34&gt;Assumptions!$B$20,0,($D97*$E97*N$35)-N$36-MAX(0,($D97*$E97*N$35)-N$36-$B97/Assumptions!$B$31)*Assumptions!$B$33))</f>
        <v>4.1636138130259956</v>
      </c>
      <c r="O97" s="105">
        <f>IF(O$34=0,-$B97,IF(O$34&gt;Assumptions!$B$20,0,($D97*$E97*O$35)-O$36-MAX(0,($D97*$E97*O$35)-O$36-$B97/Assumptions!$B$31)*Assumptions!$B$33))</f>
        <v>4.1957111668852045</v>
      </c>
      <c r="P97" s="105">
        <f>IF(P$34=0,-$B97,IF(P$34&gt;Assumptions!$B$20,0,($D97*$E97*P$35)-P$36-MAX(0,($D97*$E97*P$35)-P$36-$B97/Assumptions!$B$31)*Assumptions!$B$33))</f>
        <v>4.2278517754522165</v>
      </c>
      <c r="Q97" s="105">
        <f>IF(Q$34=0,-$B97,IF(Q$34&gt;Assumptions!$B$20,0,($D97*$E97*Q$35)-Q$36-MAX(0,($D97*$E97*Q$35)-Q$36-$B97/Assumptions!$B$31)*Assumptions!$B$33))</f>
        <v>4.2600231413796461</v>
      </c>
      <c r="R97" s="105">
        <f>IF(R$34=0,-$B97,IF(R$34&gt;Assumptions!$B$20,0,($D97*$E97*R$35)-R$36-MAX(0,($D97*$E97*R$35)-R$36-$B97/Assumptions!$B$31)*Assumptions!$B$33))</f>
        <v>4.2922121854748561</v>
      </c>
      <c r="S97" s="105">
        <f>IF(S$34=0,-$B97,IF(S$34&gt;Assumptions!$B$20,0,($D97*$E97*S$35)-S$36-MAX(0,($D97*$E97*S$35)-S$36-$B97/Assumptions!$B$31)*Assumptions!$B$33))</f>
        <v>4.3244052261407298</v>
      </c>
      <c r="T97" s="105">
        <f>IF(T$34=0,-$B97,IF(T$34&gt;Assumptions!$B$20,0,($D97*$E97*T$35)-T$36-MAX(0,($D97*$E97*T$35)-T$36-$B97/Assumptions!$B$31)*Assumptions!$B$33))</f>
        <v>4.3565879581531046</v>
      </c>
      <c r="U97" s="105">
        <f>IF(U$34=0,-$B97,IF(U$34&gt;Assumptions!$B$20,0,($D97*$E97*U$35)-U$36-MAX(0,($D97*$E97*U$35)-U$36-$B97/Assumptions!$B$31)*Assumptions!$B$33))</f>
        <v>4.3887454307542724</v>
      </c>
      <c r="V97" s="105">
        <f>IF(V$34=0,-$B97,IF(V$34&gt;Assumptions!$B$20,0,($D97*$E97*V$35)-V$36-MAX(0,($D97*$E97*V$35)-V$36-$B97/Assumptions!$B$31)*Assumptions!$B$33))</f>
        <v>4.4208620250413251</v>
      </c>
      <c r="W97" s="105">
        <f>IF(W$34=0,-$B97,IF(W$34&gt;Assumptions!$B$20,0,($D97*$E97*W$35)-W$36-MAX(0,($D97*$E97*W$35)-W$36-$B97/Assumptions!$B$31)*Assumptions!$B$33))</f>
        <v>4.4529214306274536</v>
      </c>
      <c r="X97" s="105">
        <f>IF(X$34=0,-$B97,IF(X$34&gt;Assumptions!$B$20,0,($D97*$E97*X$35)-X$36-MAX(0,($D97*$E97*X$35)-X$36-$B97/Assumptions!$B$31)*Assumptions!$B$33))</f>
        <v>4.4849066215536899</v>
      </c>
      <c r="Y97" s="105">
        <f>IF(Y$34=0,-$B97,IF(Y$34&gt;Assumptions!$B$20,0,($D97*$E97*Y$35)-Y$36-MAX(0,($D97*$E97*Y$35)-Y$36-$B97/Assumptions!$B$31)*Assumptions!$B$33))</f>
        <v>4.516799831427825</v>
      </c>
      <c r="Z97" s="105">
        <f>IF(Z$34=0,-$B97,IF(Z$34&gt;Assumptions!$B$20,0,($D97*$E97*Z$35)-Z$36-MAX(0,($D97*$E97*Z$35)-Z$36-$B97/Assumptions!$B$31)*Assumptions!$B$33))</f>
        <v>4.5485825277665972</v>
      </c>
      <c r="AA97" s="105">
        <f>IF(AA$34=0,-$B97,IF(AA$34&gt;Assumptions!$B$20,0,($D97*$E97*AA$35)-AA$36-MAX(0,($D97*$E97*AA$35)-AA$36-$B97/Assumptions!$B$31)*Assumptions!$B$33))</f>
        <v>4.5802353855164721</v>
      </c>
      <c r="AB97" s="105">
        <f>IF(AB$34=0,-$B97,IF(AB$34&gt;Assumptions!$B$20,0,($D97*$E97*AB$35)-AB$36-MAX(0,($D97*$E97*AB$35)-AB$36-$B97/Assumptions!$B$31)*Assumptions!$B$33))</f>
        <v>4.6117382597275958</v>
      </c>
    </row>
    <row r="98" spans="1:28" outlineLevel="1" x14ac:dyDescent="0.3">
      <c r="A98" s="100">
        <f t="shared" si="9"/>
        <v>7</v>
      </c>
      <c r="B98" s="102" cm="1">
        <f t="array" ref="B98">INDEX($M$11:$S$11,MOD(ROW()-92,7)+1)</f>
        <v>75</v>
      </c>
      <c r="C98" s="101" cm="1">
        <f t="array" ref="C98">INDEX($L$12:$L$18,ROUNDUP((ROW()-91)/7,0))</f>
        <v>0.16499999999999998</v>
      </c>
      <c r="D98" s="102">
        <f>Assumptions!$B$10*$C98</f>
        <v>72.27</v>
      </c>
      <c r="E98" s="103">
        <f>Assumptions!$B$23</f>
        <v>7.4999999999999997E-2</v>
      </c>
      <c r="F98" s="101">
        <f t="shared" si="10"/>
        <v>1.4975799306865545E-2</v>
      </c>
      <c r="H98" s="105">
        <f>IF(H$34=0,-$B98,IF(H$34&gt;Assumptions!$B$20,0,($D98*$E98*H$35)-H$36-MAX(0,($D98*$E98*H$35)-H$36-$B98/Assumptions!$B$31)*Assumptions!$B$33))</f>
        <v>-75</v>
      </c>
      <c r="I98" s="105">
        <f>IF(I$34=0,-$B98,IF(I$34&gt;Assumptions!$B$20,0,($D98*$E98*I$35)-I$36-MAX(0,($D98*$E98*I$35)-I$36-$B98/Assumptions!$B$31)*Assumptions!$B$33))</f>
        <v>4.0791749999999993</v>
      </c>
      <c r="J98" s="105">
        <f>IF(J$34=0,-$B98,IF(J$34&gt;Assumptions!$B$20,0,($D98*$E98*J$35)-J$36-MAX(0,($D98*$E98*J$35)-J$36-$B98/Assumptions!$B$31)*Assumptions!$B$33))</f>
        <v>4.1108876249999993</v>
      </c>
      <c r="K98" s="105">
        <f>IF(K$34=0,-$B98,IF(K$34&gt;Assumptions!$B$20,0,($D98*$E98*K$35)-K$36-MAX(0,($D98*$E98*K$35)-K$36-$B98/Assumptions!$B$31)*Assumptions!$B$33))</f>
        <v>4.1426979393749983</v>
      </c>
      <c r="L98" s="105">
        <f>IF(L$34=0,-$B98,IF(L$34&gt;Assumptions!$B$20,0,($D98*$E98*L$35)-L$36-MAX(0,($D98*$E98*L$35)-L$36-$B98/Assumptions!$B$31)*Assumptions!$B$33))</f>
        <v>4.1745960684656236</v>
      </c>
      <c r="M98" s="105">
        <f>IF(M$34=0,-$B98,IF(M$34&gt;Assumptions!$B$20,0,($D98*$E98*M$35)-M$36-MAX(0,($D98*$E98*M$35)-M$36-$B98/Assumptions!$B$31)*Assumptions!$B$33))</f>
        <v>4.2065716492926066</v>
      </c>
      <c r="N98" s="105">
        <f>IF(N$34=0,-$B98,IF(N$34&gt;Assumptions!$B$20,0,($D98*$E98*N$35)-N$36-MAX(0,($D98*$E98*N$35)-N$36-$B98/Assumptions!$B$31)*Assumptions!$B$33))</f>
        <v>4.2386138130259949</v>
      </c>
      <c r="O98" s="105">
        <f>IF(O$34=0,-$B98,IF(O$34&gt;Assumptions!$B$20,0,($D98*$E98*O$35)-O$36-MAX(0,($D98*$E98*O$35)-O$36-$B98/Assumptions!$B$31)*Assumptions!$B$33))</f>
        <v>4.2707111668852047</v>
      </c>
      <c r="P98" s="105">
        <f>IF(P$34=0,-$B98,IF(P$34&gt;Assumptions!$B$20,0,($D98*$E98*P$35)-P$36-MAX(0,($D98*$E98*P$35)-P$36-$B98/Assumptions!$B$31)*Assumptions!$B$33))</f>
        <v>4.3028517754522166</v>
      </c>
      <c r="Q98" s="105">
        <f>IF(Q$34=0,-$B98,IF(Q$34&gt;Assumptions!$B$20,0,($D98*$E98*Q$35)-Q$36-MAX(0,($D98*$E98*Q$35)-Q$36-$B98/Assumptions!$B$31)*Assumptions!$B$33))</f>
        <v>4.3350231413796463</v>
      </c>
      <c r="R98" s="105">
        <f>IF(R$34=0,-$B98,IF(R$34&gt;Assumptions!$B$20,0,($D98*$E98*R$35)-R$36-MAX(0,($D98*$E98*R$35)-R$36-$B98/Assumptions!$B$31)*Assumptions!$B$33))</f>
        <v>4.3672121854748562</v>
      </c>
      <c r="S98" s="105">
        <f>IF(S$34=0,-$B98,IF(S$34&gt;Assumptions!$B$20,0,($D98*$E98*S$35)-S$36-MAX(0,($D98*$E98*S$35)-S$36-$B98/Assumptions!$B$31)*Assumptions!$B$33))</f>
        <v>4.3994052261407299</v>
      </c>
      <c r="T98" s="105">
        <f>IF(T$34=0,-$B98,IF(T$34&gt;Assumptions!$B$20,0,($D98*$E98*T$35)-T$36-MAX(0,($D98*$E98*T$35)-T$36-$B98/Assumptions!$B$31)*Assumptions!$B$33))</f>
        <v>4.4315879581531048</v>
      </c>
      <c r="U98" s="105">
        <f>IF(U$34=0,-$B98,IF(U$34&gt;Assumptions!$B$20,0,($D98*$E98*U$35)-U$36-MAX(0,($D98*$E98*U$35)-U$36-$B98/Assumptions!$B$31)*Assumptions!$B$33))</f>
        <v>4.4637454307542725</v>
      </c>
      <c r="V98" s="105">
        <f>IF(V$34=0,-$B98,IF(V$34&gt;Assumptions!$B$20,0,($D98*$E98*V$35)-V$36-MAX(0,($D98*$E98*V$35)-V$36-$B98/Assumptions!$B$31)*Assumptions!$B$33))</f>
        <v>4.4958620250413244</v>
      </c>
      <c r="W98" s="105">
        <f>IF(W$34=0,-$B98,IF(W$34&gt;Assumptions!$B$20,0,($D98*$E98*W$35)-W$36-MAX(0,($D98*$E98*W$35)-W$36-$B98/Assumptions!$B$31)*Assumptions!$B$33))</f>
        <v>4.5279214306274529</v>
      </c>
      <c r="X98" s="105">
        <f>IF(X$34=0,-$B98,IF(X$34&gt;Assumptions!$B$20,0,($D98*$E98*X$35)-X$36-MAX(0,($D98*$E98*X$35)-X$36-$B98/Assumptions!$B$31)*Assumptions!$B$33))</f>
        <v>4.5599066215536901</v>
      </c>
      <c r="Y98" s="105">
        <f>IF(Y$34=0,-$B98,IF(Y$34&gt;Assumptions!$B$20,0,($D98*$E98*Y$35)-Y$36-MAX(0,($D98*$E98*Y$35)-Y$36-$B98/Assumptions!$B$31)*Assumptions!$B$33))</f>
        <v>4.5917998314278252</v>
      </c>
      <c r="Z98" s="105">
        <f>IF(Z$34=0,-$B98,IF(Z$34&gt;Assumptions!$B$20,0,($D98*$E98*Z$35)-Z$36-MAX(0,($D98*$E98*Z$35)-Z$36-$B98/Assumptions!$B$31)*Assumptions!$B$33))</f>
        <v>4.6235825277665974</v>
      </c>
      <c r="AA98" s="105">
        <f>IF(AA$34=0,-$B98,IF(AA$34&gt;Assumptions!$B$20,0,($D98*$E98*AA$35)-AA$36-MAX(0,($D98*$E98*AA$35)-AA$36-$B98/Assumptions!$B$31)*Assumptions!$B$33))</f>
        <v>4.6552353855164723</v>
      </c>
      <c r="AB98" s="105">
        <f>IF(AB$34=0,-$B98,IF(AB$34&gt;Assumptions!$B$20,0,($D98*$E98*AB$35)-AB$36-MAX(0,($D98*$E98*AB$35)-AB$36-$B98/Assumptions!$B$31)*Assumptions!$B$33))</f>
        <v>4.6867382597275959</v>
      </c>
    </row>
    <row r="99" spans="1:28" outlineLevel="1" x14ac:dyDescent="0.3">
      <c r="A99" s="100">
        <f t="shared" si="9"/>
        <v>8</v>
      </c>
      <c r="B99" s="102" cm="1">
        <f t="array" ref="B99">INDEX($M$11:$S$11,MOD(ROW()-92,7)+1)</f>
        <v>45</v>
      </c>
      <c r="C99" s="101" cm="1">
        <f t="array" ref="C99">INDEX($L$12:$L$18,ROUNDUP((ROW()-91)/7,0))</f>
        <v>0.18</v>
      </c>
      <c r="D99" s="102">
        <f>Assumptions!$B$10*$C99</f>
        <v>78.84</v>
      </c>
      <c r="E99" s="103">
        <f>Assumptions!$B$23</f>
        <v>7.4999999999999997E-2</v>
      </c>
      <c r="F99" s="101">
        <f t="shared" si="10"/>
        <v>7.004299241963885E-2</v>
      </c>
      <c r="H99" s="105">
        <f>IF(H$34=0,-$B99,IF(H$34&gt;Assumptions!$B$20,0,($D99*$E99*H$35)-H$36-MAX(0,($D99*$E99*H$35)-H$36-$B99/Assumptions!$B$31)*Assumptions!$B$33))</f>
        <v>-45</v>
      </c>
      <c r="I99" s="105">
        <f>IF(I$34=0,-$B99,IF(I$34&gt;Assumptions!$B$20,0,($D99*$E99*I$35)-I$36-MAX(0,($D99*$E99*I$35)-I$36-$B99/Assumptions!$B$31)*Assumptions!$B$33))</f>
        <v>3.9741</v>
      </c>
      <c r="J99" s="105">
        <f>IF(J$34=0,-$B99,IF(J$34&gt;Assumptions!$B$20,0,($D99*$E99*J$35)-J$36-MAX(0,($D99*$E99*J$35)-J$36-$B99/Assumptions!$B$31)*Assumptions!$B$33))</f>
        <v>4.0109864999999996</v>
      </c>
      <c r="K99" s="105">
        <f>IF(K$34=0,-$B99,IF(K$34&gt;Assumptions!$B$20,0,($D99*$E99*K$35)-K$36-MAX(0,($D99*$E99*K$35)-K$36-$B99/Assumptions!$B$31)*Assumptions!$B$33))</f>
        <v>4.0480482974999985</v>
      </c>
      <c r="L99" s="105">
        <f>IF(L$34=0,-$B99,IF(L$34&gt;Assumptions!$B$20,0,($D99*$E99*L$35)-L$36-MAX(0,($D99*$E99*L$35)-L$36-$B99/Assumptions!$B$31)*Assumptions!$B$33))</f>
        <v>4.0852766819624984</v>
      </c>
      <c r="M99" s="105">
        <f>IF(M$34=0,-$B99,IF(M$34&gt;Assumptions!$B$20,0,($D99*$E99*M$35)-M$36-MAX(0,($D99*$E99*M$35)-M$36-$B99/Assumptions!$B$31)*Assumptions!$B$33))</f>
        <v>4.1226624719919354</v>
      </c>
      <c r="N99" s="105">
        <f>IF(N$34=0,-$B99,IF(N$34&gt;Assumptions!$B$20,0,($D99*$E99*N$35)-N$36-MAX(0,($D99*$E99*N$35)-N$36-$B99/Assumptions!$B$31)*Assumptions!$B$33))</f>
        <v>4.1601959980658139</v>
      </c>
      <c r="O99" s="105">
        <f>IF(O$34=0,-$B99,IF(O$34&gt;Assumptions!$B$20,0,($D99*$E99*O$35)-O$36-MAX(0,($D99*$E99*O$35)-O$36-$B99/Assumptions!$B$31)*Assumptions!$B$33))</f>
        <v>4.1978670847006203</v>
      </c>
      <c r="P99" s="105">
        <f>IF(P$34=0,-$B99,IF(P$34&gt;Assumptions!$B$20,0,($D99*$E99*P$35)-P$36-MAX(0,($D99*$E99*P$35)-P$36-$B99/Assumptions!$B$31)*Assumptions!$B$33))</f>
        <v>4.2356650320348637</v>
      </c>
      <c r="Q99" s="105">
        <f>IF(Q$34=0,-$B99,IF(Q$34&gt;Assumptions!$B$20,0,($D99*$E99*Q$35)-Q$36-MAX(0,($D99*$E99*Q$35)-Q$36-$B99/Assumptions!$B$31)*Assumptions!$B$33))</f>
        <v>4.2735785968110331</v>
      </c>
      <c r="R99" s="105">
        <f>IF(R$34=0,-$B99,IF(R$34&gt;Assumptions!$B$20,0,($D99*$E99*R$35)-R$36-MAX(0,($D99*$E99*R$35)-R$36-$B99/Assumptions!$B$31)*Assumptions!$B$33))</f>
        <v>4.3115959727377131</v>
      </c>
      <c r="S99" s="105">
        <f>IF(S$34=0,-$B99,IF(S$34&gt;Assumptions!$B$20,0,($D99*$E99*S$35)-S$36-MAX(0,($D99*$E99*S$35)-S$36-$B99/Assumptions!$B$31)*Assumptions!$B$33))</f>
        <v>4.3497047702125302</v>
      </c>
      <c r="T99" s="105">
        <f>IF(T$34=0,-$B99,IF(T$34&gt;Assumptions!$B$20,0,($D99*$E99*T$35)-T$36-MAX(0,($D99*$E99*T$35)-T$36-$B99/Assumptions!$B$31)*Assumptions!$B$33))</f>
        <v>4.3878919953859823</v>
      </c>
      <c r="U99" s="105">
        <f>IF(U$34=0,-$B99,IF(U$34&gt;Assumptions!$B$20,0,($D99*$E99*U$35)-U$36-MAX(0,($D99*$E99*U$35)-U$36-$B99/Assumptions!$B$31)*Assumptions!$B$33))</f>
        <v>4.426144028545643</v>
      </c>
      <c r="V99" s="105">
        <f>IF(V$34=0,-$B99,IF(V$34&gt;Assumptions!$B$20,0,($D99*$E99*V$35)-V$36-MAX(0,($D99*$E99*V$35)-V$36-$B99/Assumptions!$B$31)*Assumptions!$B$33))</f>
        <v>4.4644466017995654</v>
      </c>
      <c r="W99" s="105">
        <f>IF(W$34=0,-$B99,IF(W$34&gt;Assumptions!$B$20,0,($D99*$E99*W$35)-W$36-MAX(0,($D99*$E99*W$35)-W$36-$B99/Assumptions!$B$31)*Assumptions!$B$33))</f>
        <v>4.5027847760370676</v>
      </c>
      <c r="X99" s="105">
        <f>IF(X$34=0,-$B99,IF(X$34&gt;Assumptions!$B$20,0,($D99*$E99*X$35)-X$36-MAX(0,($D99*$E99*X$35)-X$36-$B99/Assumptions!$B$31)*Assumptions!$B$33))</f>
        <v>4.5411429171444482</v>
      </c>
      <c r="Y99" s="105">
        <f>IF(Y$34=0,-$B99,IF(Y$34&gt;Assumptions!$B$20,0,($D99*$E99*Y$35)-Y$36-MAX(0,($D99*$E99*Y$35)-Y$36-$B99/Assumptions!$B$31)*Assumptions!$B$33))</f>
        <v>4.5795046714524448</v>
      </c>
      <c r="Z99" s="105">
        <f>IF(Z$34=0,-$B99,IF(Z$34&gt;Assumptions!$B$20,0,($D99*$E99*Z$35)-Z$36-MAX(0,($D99*$E99*Z$35)-Z$36-$B99/Assumptions!$B$31)*Assumptions!$B$33))</f>
        <v>4.617852940391586</v>
      </c>
      <c r="AA99" s="105">
        <f>IF(AA$34=0,-$B99,IF(AA$34&gt;Assumptions!$B$20,0,($D99*$E99*AA$35)-AA$36-MAX(0,($D99*$E99*AA$35)-AA$36-$B99/Assumptions!$B$31)*Assumptions!$B$33))</f>
        <v>4.6561698543308356</v>
      </c>
      <c r="AB99" s="105">
        <f>IF(AB$34=0,-$B99,IF(AB$34&gt;Assumptions!$B$20,0,($D99*$E99*AB$35)-AB$36-MAX(0,($D99*$E99*AB$35)-AB$36-$B99/Assumptions!$B$31)*Assumptions!$B$33))</f>
        <v>4.6944367455741745</v>
      </c>
    </row>
    <row r="100" spans="1:28" outlineLevel="1" x14ac:dyDescent="0.3">
      <c r="A100" s="100">
        <f t="shared" si="9"/>
        <v>9</v>
      </c>
      <c r="B100" s="102" cm="1">
        <f t="array" ref="B100">INDEX($M$11:$S$11,MOD(ROW()-92,7)+1)</f>
        <v>50</v>
      </c>
      <c r="C100" s="101" cm="1">
        <f t="array" ref="C100">INDEX($L$12:$L$18,ROUNDUP((ROW()-91)/7,0))</f>
        <v>0.18</v>
      </c>
      <c r="D100" s="102">
        <f>Assumptions!$B$10*$C100</f>
        <v>78.84</v>
      </c>
      <c r="E100" s="103">
        <f>Assumptions!$B$23</f>
        <v>7.4999999999999997E-2</v>
      </c>
      <c r="F100" s="101">
        <f t="shared" si="10"/>
        <v>5.9338123439840684E-2</v>
      </c>
      <c r="H100" s="105">
        <f>IF(H$34=0,-$B100,IF(H$34&gt;Assumptions!$B$20,0,($D100*$E100*H$35)-H$36-MAX(0,($D100*$E100*H$35)-H$36-$B100/Assumptions!$B$31)*Assumptions!$B$33))</f>
        <v>-50</v>
      </c>
      <c r="I100" s="105">
        <f>IF(I$34=0,-$B100,IF(I$34&gt;Assumptions!$B$20,0,($D100*$E100*I$35)-I$36-MAX(0,($D100*$E100*I$35)-I$36-$B100/Assumptions!$B$31)*Assumptions!$B$33))</f>
        <v>4.0491000000000001</v>
      </c>
      <c r="J100" s="105">
        <f>IF(J$34=0,-$B100,IF(J$34&gt;Assumptions!$B$20,0,($D100*$E100*J$35)-J$36-MAX(0,($D100*$E100*J$35)-J$36-$B100/Assumptions!$B$31)*Assumptions!$B$33))</f>
        <v>4.0859864999999997</v>
      </c>
      <c r="K100" s="105">
        <f>IF(K$34=0,-$B100,IF(K$34&gt;Assumptions!$B$20,0,($D100*$E100*K$35)-K$36-MAX(0,($D100*$E100*K$35)-K$36-$B100/Assumptions!$B$31)*Assumptions!$B$33))</f>
        <v>4.1230482974999987</v>
      </c>
      <c r="L100" s="105">
        <f>IF(L$34=0,-$B100,IF(L$34&gt;Assumptions!$B$20,0,($D100*$E100*L$35)-L$36-MAX(0,($D100*$E100*L$35)-L$36-$B100/Assumptions!$B$31)*Assumptions!$B$33))</f>
        <v>4.1602766819624986</v>
      </c>
      <c r="M100" s="105">
        <f>IF(M$34=0,-$B100,IF(M$34&gt;Assumptions!$B$20,0,($D100*$E100*M$35)-M$36-MAX(0,($D100*$E100*M$35)-M$36-$B100/Assumptions!$B$31)*Assumptions!$B$33))</f>
        <v>4.1976624719919355</v>
      </c>
      <c r="N100" s="105">
        <f>IF(N$34=0,-$B100,IF(N$34&gt;Assumptions!$B$20,0,($D100*$E100*N$35)-N$36-MAX(0,($D100*$E100*N$35)-N$36-$B100/Assumptions!$B$31)*Assumptions!$B$33))</f>
        <v>4.235195998065814</v>
      </c>
      <c r="O100" s="105">
        <f>IF(O$34=0,-$B100,IF(O$34&gt;Assumptions!$B$20,0,($D100*$E100*O$35)-O$36-MAX(0,($D100*$E100*O$35)-O$36-$B100/Assumptions!$B$31)*Assumptions!$B$33))</f>
        <v>4.2728670847006205</v>
      </c>
      <c r="P100" s="105">
        <f>IF(P$34=0,-$B100,IF(P$34&gt;Assumptions!$B$20,0,($D100*$E100*P$35)-P$36-MAX(0,($D100*$E100*P$35)-P$36-$B100/Assumptions!$B$31)*Assumptions!$B$33))</f>
        <v>4.310665032034863</v>
      </c>
      <c r="Q100" s="105">
        <f>IF(Q$34=0,-$B100,IF(Q$34&gt;Assumptions!$B$20,0,($D100*$E100*Q$35)-Q$36-MAX(0,($D100*$E100*Q$35)-Q$36-$B100/Assumptions!$B$31)*Assumptions!$B$33))</f>
        <v>4.3485785968110324</v>
      </c>
      <c r="R100" s="105">
        <f>IF(R$34=0,-$B100,IF(R$34&gt;Assumptions!$B$20,0,($D100*$E100*R$35)-R$36-MAX(0,($D100*$E100*R$35)-R$36-$B100/Assumptions!$B$31)*Assumptions!$B$33))</f>
        <v>4.3865959727377133</v>
      </c>
      <c r="S100" s="105">
        <f>IF(S$34=0,-$B100,IF(S$34&gt;Assumptions!$B$20,0,($D100*$E100*S$35)-S$36-MAX(0,($D100*$E100*S$35)-S$36-$B100/Assumptions!$B$31)*Assumptions!$B$33))</f>
        <v>4.4247047702125304</v>
      </c>
      <c r="T100" s="105">
        <f>IF(T$34=0,-$B100,IF(T$34&gt;Assumptions!$B$20,0,($D100*$E100*T$35)-T$36-MAX(0,($D100*$E100*T$35)-T$36-$B100/Assumptions!$B$31)*Assumptions!$B$33))</f>
        <v>4.4628919953859825</v>
      </c>
      <c r="U100" s="105">
        <f>IF(U$34=0,-$B100,IF(U$34&gt;Assumptions!$B$20,0,($D100*$E100*U$35)-U$36-MAX(0,($D100*$E100*U$35)-U$36-$B100/Assumptions!$B$31)*Assumptions!$B$33))</f>
        <v>4.5011440285456432</v>
      </c>
      <c r="V100" s="105">
        <f>IF(V$34=0,-$B100,IF(V$34&gt;Assumptions!$B$20,0,($D100*$E100*V$35)-V$36-MAX(0,($D100*$E100*V$35)-V$36-$B100/Assumptions!$B$31)*Assumptions!$B$33))</f>
        <v>4.5394466017995647</v>
      </c>
      <c r="W100" s="105">
        <f>IF(W$34=0,-$B100,IF(W$34&gt;Assumptions!$B$20,0,($D100*$E100*W$35)-W$36-MAX(0,($D100*$E100*W$35)-W$36-$B100/Assumptions!$B$31)*Assumptions!$B$33))</f>
        <v>4.5777847760370669</v>
      </c>
      <c r="X100" s="105">
        <f>IF(X$34=0,-$B100,IF(X$34&gt;Assumptions!$B$20,0,($D100*$E100*X$35)-X$36-MAX(0,($D100*$E100*X$35)-X$36-$B100/Assumptions!$B$31)*Assumptions!$B$33))</f>
        <v>4.6161429171444484</v>
      </c>
      <c r="Y100" s="105">
        <f>IF(Y$34=0,-$B100,IF(Y$34&gt;Assumptions!$B$20,0,($D100*$E100*Y$35)-Y$36-MAX(0,($D100*$E100*Y$35)-Y$36-$B100/Assumptions!$B$31)*Assumptions!$B$33))</f>
        <v>4.654504671452445</v>
      </c>
      <c r="Z100" s="105">
        <f>IF(Z$34=0,-$B100,IF(Z$34&gt;Assumptions!$B$20,0,($D100*$E100*Z$35)-Z$36-MAX(0,($D100*$E100*Z$35)-Z$36-$B100/Assumptions!$B$31)*Assumptions!$B$33))</f>
        <v>4.6928529403915862</v>
      </c>
      <c r="AA100" s="105">
        <f>IF(AA$34=0,-$B100,IF(AA$34&gt;Assumptions!$B$20,0,($D100*$E100*AA$35)-AA$36-MAX(0,($D100*$E100*AA$35)-AA$36-$B100/Assumptions!$B$31)*Assumptions!$B$33))</f>
        <v>4.7311698543308358</v>
      </c>
      <c r="AB100" s="105">
        <f>IF(AB$34=0,-$B100,IF(AB$34&gt;Assumptions!$B$20,0,($D100*$E100*AB$35)-AB$36-MAX(0,($D100*$E100*AB$35)-AB$36-$B100/Assumptions!$B$31)*Assumptions!$B$33))</f>
        <v>4.7694367455741737</v>
      </c>
    </row>
    <row r="101" spans="1:28" outlineLevel="1" x14ac:dyDescent="0.3">
      <c r="A101" s="100">
        <f t="shared" si="9"/>
        <v>10</v>
      </c>
      <c r="B101" s="102" cm="1">
        <f t="array" ref="B101">INDEX($M$11:$S$11,MOD(ROW()-92,7)+1)</f>
        <v>55</v>
      </c>
      <c r="C101" s="101" cm="1">
        <f t="array" ref="C101">INDEX($L$12:$L$18,ROUNDUP((ROW()-91)/7,0))</f>
        <v>0.18</v>
      </c>
      <c r="D101" s="102">
        <f>Assumptions!$B$10*$C101</f>
        <v>78.84</v>
      </c>
      <c r="E101" s="103">
        <f>Assumptions!$B$23</f>
        <v>7.4999999999999997E-2</v>
      </c>
      <c r="F101" s="101">
        <f t="shared" si="10"/>
        <v>5.0208597031752511E-2</v>
      </c>
      <c r="H101" s="105">
        <f>IF(H$34=0,-$B101,IF(H$34&gt;Assumptions!$B$20,0,($D101*$E101*H$35)-H$36-MAX(0,($D101*$E101*H$35)-H$36-$B101/Assumptions!$B$31)*Assumptions!$B$33))</f>
        <v>-55</v>
      </c>
      <c r="I101" s="105">
        <f>IF(I$34=0,-$B101,IF(I$34&gt;Assumptions!$B$20,0,($D101*$E101*I$35)-I$36-MAX(0,($D101*$E101*I$35)-I$36-$B101/Assumptions!$B$31)*Assumptions!$B$33))</f>
        <v>4.1241000000000003</v>
      </c>
      <c r="J101" s="105">
        <f>IF(J$34=0,-$B101,IF(J$34&gt;Assumptions!$B$20,0,($D101*$E101*J$35)-J$36-MAX(0,($D101*$E101*J$35)-J$36-$B101/Assumptions!$B$31)*Assumptions!$B$33))</f>
        <v>4.1609864999999999</v>
      </c>
      <c r="K101" s="105">
        <f>IF(K$34=0,-$B101,IF(K$34&gt;Assumptions!$B$20,0,($D101*$E101*K$35)-K$36-MAX(0,($D101*$E101*K$35)-K$36-$B101/Assumptions!$B$31)*Assumptions!$B$33))</f>
        <v>4.1980482974999989</v>
      </c>
      <c r="L101" s="105">
        <f>IF(L$34=0,-$B101,IF(L$34&gt;Assumptions!$B$20,0,($D101*$E101*L$35)-L$36-MAX(0,($D101*$E101*L$35)-L$36-$B101/Assumptions!$B$31)*Assumptions!$B$33))</f>
        <v>4.2352766819624987</v>
      </c>
      <c r="M101" s="105">
        <f>IF(M$34=0,-$B101,IF(M$34&gt;Assumptions!$B$20,0,($D101*$E101*M$35)-M$36-MAX(0,($D101*$E101*M$35)-M$36-$B101/Assumptions!$B$31)*Assumptions!$B$33))</f>
        <v>4.2726624719919357</v>
      </c>
      <c r="N101" s="105">
        <f>IF(N$34=0,-$B101,IF(N$34&gt;Assumptions!$B$20,0,($D101*$E101*N$35)-N$36-MAX(0,($D101*$E101*N$35)-N$36-$B101/Assumptions!$B$31)*Assumptions!$B$33))</f>
        <v>4.3101959980658142</v>
      </c>
      <c r="O101" s="105">
        <f>IF(O$34=0,-$B101,IF(O$34&gt;Assumptions!$B$20,0,($D101*$E101*O$35)-O$36-MAX(0,($D101*$E101*O$35)-O$36-$B101/Assumptions!$B$31)*Assumptions!$B$33))</f>
        <v>4.3478670847006198</v>
      </c>
      <c r="P101" s="105">
        <f>IF(P$34=0,-$B101,IF(P$34&gt;Assumptions!$B$20,0,($D101*$E101*P$35)-P$36-MAX(0,($D101*$E101*P$35)-P$36-$B101/Assumptions!$B$31)*Assumptions!$B$33))</f>
        <v>4.3856650320348631</v>
      </c>
      <c r="Q101" s="105">
        <f>IF(Q$34=0,-$B101,IF(Q$34&gt;Assumptions!$B$20,0,($D101*$E101*Q$35)-Q$36-MAX(0,($D101*$E101*Q$35)-Q$36-$B101/Assumptions!$B$31)*Assumptions!$B$33))</f>
        <v>4.4235785968110326</v>
      </c>
      <c r="R101" s="105">
        <f>IF(R$34=0,-$B101,IF(R$34&gt;Assumptions!$B$20,0,($D101*$E101*R$35)-R$36-MAX(0,($D101*$E101*R$35)-R$36-$B101/Assumptions!$B$31)*Assumptions!$B$33))</f>
        <v>4.4615959727377135</v>
      </c>
      <c r="S101" s="105">
        <f>IF(S$34=0,-$B101,IF(S$34&gt;Assumptions!$B$20,0,($D101*$E101*S$35)-S$36-MAX(0,($D101*$E101*S$35)-S$36-$B101/Assumptions!$B$31)*Assumptions!$B$33))</f>
        <v>4.4997047702125306</v>
      </c>
      <c r="T101" s="105">
        <f>IF(T$34=0,-$B101,IF(T$34&gt;Assumptions!$B$20,0,($D101*$E101*T$35)-T$36-MAX(0,($D101*$E101*T$35)-T$36-$B101/Assumptions!$B$31)*Assumptions!$B$33))</f>
        <v>4.5378919953859818</v>
      </c>
      <c r="U101" s="105">
        <f>IF(U$34=0,-$B101,IF(U$34&gt;Assumptions!$B$20,0,($D101*$E101*U$35)-U$36-MAX(0,($D101*$E101*U$35)-U$36-$B101/Assumptions!$B$31)*Assumptions!$B$33))</f>
        <v>4.5761440285456434</v>
      </c>
      <c r="V101" s="105">
        <f>IF(V$34=0,-$B101,IF(V$34&gt;Assumptions!$B$20,0,($D101*$E101*V$35)-V$36-MAX(0,($D101*$E101*V$35)-V$36-$B101/Assumptions!$B$31)*Assumptions!$B$33))</f>
        <v>4.6144466017995649</v>
      </c>
      <c r="W101" s="105">
        <f>IF(W$34=0,-$B101,IF(W$34&gt;Assumptions!$B$20,0,($D101*$E101*W$35)-W$36-MAX(0,($D101*$E101*W$35)-W$36-$B101/Assumptions!$B$31)*Assumptions!$B$33))</f>
        <v>4.6527847760370671</v>
      </c>
      <c r="X101" s="105">
        <f>IF(X$34=0,-$B101,IF(X$34&gt;Assumptions!$B$20,0,($D101*$E101*X$35)-X$36-MAX(0,($D101*$E101*X$35)-X$36-$B101/Assumptions!$B$31)*Assumptions!$B$33))</f>
        <v>4.6911429171444485</v>
      </c>
      <c r="Y101" s="105">
        <f>IF(Y$34=0,-$B101,IF(Y$34&gt;Assumptions!$B$20,0,($D101*$E101*Y$35)-Y$36-MAX(0,($D101*$E101*Y$35)-Y$36-$B101/Assumptions!$B$31)*Assumptions!$B$33))</f>
        <v>4.7295046714524451</v>
      </c>
      <c r="Z101" s="105">
        <f>IF(Z$34=0,-$B101,IF(Z$34&gt;Assumptions!$B$20,0,($D101*$E101*Z$35)-Z$36-MAX(0,($D101*$E101*Z$35)-Z$36-$B101/Assumptions!$B$31)*Assumptions!$B$33))</f>
        <v>4.7678529403915864</v>
      </c>
      <c r="AA101" s="105">
        <f>IF(AA$34=0,-$B101,IF(AA$34&gt;Assumptions!$B$20,0,($D101*$E101*AA$35)-AA$36-MAX(0,($D101*$E101*AA$35)-AA$36-$B101/Assumptions!$B$31)*Assumptions!$B$33))</f>
        <v>4.806169854330836</v>
      </c>
      <c r="AB101" s="105">
        <f>IF(AB$34=0,-$B101,IF(AB$34&gt;Assumptions!$B$20,0,($D101*$E101*AB$35)-AB$36-MAX(0,($D101*$E101*AB$35)-AB$36-$B101/Assumptions!$B$31)*Assumptions!$B$33))</f>
        <v>4.8444367455741739</v>
      </c>
    </row>
    <row r="102" spans="1:28" outlineLevel="1" x14ac:dyDescent="0.3">
      <c r="A102" s="100">
        <f t="shared" si="9"/>
        <v>11</v>
      </c>
      <c r="B102" s="102" cm="1">
        <f t="array" ref="B102">INDEX($M$11:$S$11,MOD(ROW()-92,7)+1)</f>
        <v>60</v>
      </c>
      <c r="C102" s="101" cm="1">
        <f t="array" ref="C102">INDEX($L$12:$L$18,ROUNDUP((ROW()-91)/7,0))</f>
        <v>0.18</v>
      </c>
      <c r="D102" s="102">
        <f>Assumptions!$B$10*$C102</f>
        <v>78.84</v>
      </c>
      <c r="E102" s="103">
        <f>Assumptions!$B$23</f>
        <v>7.4999999999999997E-2</v>
      </c>
      <c r="F102" s="101">
        <f t="shared" si="10"/>
        <v>4.2300459488682662E-2</v>
      </c>
      <c r="H102" s="105">
        <f>IF(H$34=0,-$B102,IF(H$34&gt;Assumptions!$B$20,0,($D102*$E102*H$35)-H$36-MAX(0,($D102*$E102*H$35)-H$36-$B102/Assumptions!$B$31)*Assumptions!$B$33))</f>
        <v>-60</v>
      </c>
      <c r="I102" s="105">
        <f>IF(I$34=0,-$B102,IF(I$34&gt;Assumptions!$B$20,0,($D102*$E102*I$35)-I$36-MAX(0,($D102*$E102*I$35)-I$36-$B102/Assumptions!$B$31)*Assumptions!$B$33))</f>
        <v>4.1990999999999996</v>
      </c>
      <c r="J102" s="105">
        <f>IF(J$34=0,-$B102,IF(J$34&gt;Assumptions!$B$20,0,($D102*$E102*J$35)-J$36-MAX(0,($D102*$E102*J$35)-J$36-$B102/Assumptions!$B$31)*Assumptions!$B$33))</f>
        <v>4.2359865000000001</v>
      </c>
      <c r="K102" s="105">
        <f>IF(K$34=0,-$B102,IF(K$34&gt;Assumptions!$B$20,0,($D102*$E102*K$35)-K$36-MAX(0,($D102*$E102*K$35)-K$36-$B102/Assumptions!$B$31)*Assumptions!$B$33))</f>
        <v>4.273048297499999</v>
      </c>
      <c r="L102" s="105">
        <f>IF(L$34=0,-$B102,IF(L$34&gt;Assumptions!$B$20,0,($D102*$E102*L$35)-L$36-MAX(0,($D102*$E102*L$35)-L$36-$B102/Assumptions!$B$31)*Assumptions!$B$33))</f>
        <v>4.3102766819624989</v>
      </c>
      <c r="M102" s="105">
        <f>IF(M$34=0,-$B102,IF(M$34&gt;Assumptions!$B$20,0,($D102*$E102*M$35)-M$36-MAX(0,($D102*$E102*M$35)-M$36-$B102/Assumptions!$B$31)*Assumptions!$B$33))</f>
        <v>4.347662471991935</v>
      </c>
      <c r="N102" s="105">
        <f>IF(N$34=0,-$B102,IF(N$34&gt;Assumptions!$B$20,0,($D102*$E102*N$35)-N$36-MAX(0,($D102*$E102*N$35)-N$36-$B102/Assumptions!$B$31)*Assumptions!$B$33))</f>
        <v>4.3851959980658144</v>
      </c>
      <c r="O102" s="105">
        <f>IF(O$34=0,-$B102,IF(O$34&gt;Assumptions!$B$20,0,($D102*$E102*O$35)-O$36-MAX(0,($D102*$E102*O$35)-O$36-$B102/Assumptions!$B$31)*Assumptions!$B$33))</f>
        <v>4.42286708470062</v>
      </c>
      <c r="P102" s="105">
        <f>IF(P$34=0,-$B102,IF(P$34&gt;Assumptions!$B$20,0,($D102*$E102*P$35)-P$36-MAX(0,($D102*$E102*P$35)-P$36-$B102/Assumptions!$B$31)*Assumptions!$B$33))</f>
        <v>4.4606650320348633</v>
      </c>
      <c r="Q102" s="105">
        <f>IF(Q$34=0,-$B102,IF(Q$34&gt;Assumptions!$B$20,0,($D102*$E102*Q$35)-Q$36-MAX(0,($D102*$E102*Q$35)-Q$36-$B102/Assumptions!$B$31)*Assumptions!$B$33))</f>
        <v>4.4985785968110328</v>
      </c>
      <c r="R102" s="105">
        <f>IF(R$34=0,-$B102,IF(R$34&gt;Assumptions!$B$20,0,($D102*$E102*R$35)-R$36-MAX(0,($D102*$E102*R$35)-R$36-$B102/Assumptions!$B$31)*Assumptions!$B$33))</f>
        <v>4.5365959727377136</v>
      </c>
      <c r="S102" s="105">
        <f>IF(S$34=0,-$B102,IF(S$34&gt;Assumptions!$B$20,0,($D102*$E102*S$35)-S$36-MAX(0,($D102*$E102*S$35)-S$36-$B102/Assumptions!$B$31)*Assumptions!$B$33))</f>
        <v>4.5747047702125307</v>
      </c>
      <c r="T102" s="105">
        <f>IF(T$34=0,-$B102,IF(T$34&gt;Assumptions!$B$20,0,($D102*$E102*T$35)-T$36-MAX(0,($D102*$E102*T$35)-T$36-$B102/Assumptions!$B$31)*Assumptions!$B$33))</f>
        <v>4.6128919953859819</v>
      </c>
      <c r="U102" s="105">
        <f>IF(U$34=0,-$B102,IF(U$34&gt;Assumptions!$B$20,0,($D102*$E102*U$35)-U$36-MAX(0,($D102*$E102*U$35)-U$36-$B102/Assumptions!$B$31)*Assumptions!$B$33))</f>
        <v>4.6511440285456427</v>
      </c>
      <c r="V102" s="105">
        <f>IF(V$34=0,-$B102,IF(V$34&gt;Assumptions!$B$20,0,($D102*$E102*V$35)-V$36-MAX(0,($D102*$E102*V$35)-V$36-$B102/Assumptions!$B$31)*Assumptions!$B$33))</f>
        <v>4.6894466017995651</v>
      </c>
      <c r="W102" s="105">
        <f>IF(W$34=0,-$B102,IF(W$34&gt;Assumptions!$B$20,0,($D102*$E102*W$35)-W$36-MAX(0,($D102*$E102*W$35)-W$36-$B102/Assumptions!$B$31)*Assumptions!$B$33))</f>
        <v>4.7277847760370673</v>
      </c>
      <c r="X102" s="105">
        <f>IF(X$34=0,-$B102,IF(X$34&gt;Assumptions!$B$20,0,($D102*$E102*X$35)-X$36-MAX(0,($D102*$E102*X$35)-X$36-$B102/Assumptions!$B$31)*Assumptions!$B$33))</f>
        <v>4.7661429171444487</v>
      </c>
      <c r="Y102" s="105">
        <f>IF(Y$34=0,-$B102,IF(Y$34&gt;Assumptions!$B$20,0,($D102*$E102*Y$35)-Y$36-MAX(0,($D102*$E102*Y$35)-Y$36-$B102/Assumptions!$B$31)*Assumptions!$B$33))</f>
        <v>4.8045046714524453</v>
      </c>
      <c r="Z102" s="105">
        <f>IF(Z$34=0,-$B102,IF(Z$34&gt;Assumptions!$B$20,0,($D102*$E102*Z$35)-Z$36-MAX(0,($D102*$E102*Z$35)-Z$36-$B102/Assumptions!$B$31)*Assumptions!$B$33))</f>
        <v>4.8428529403915856</v>
      </c>
      <c r="AA102" s="105">
        <f>IF(AA$34=0,-$B102,IF(AA$34&gt;Assumptions!$B$20,0,($D102*$E102*AA$35)-AA$36-MAX(0,($D102*$E102*AA$35)-AA$36-$B102/Assumptions!$B$31)*Assumptions!$B$33))</f>
        <v>4.8811698543308362</v>
      </c>
      <c r="AB102" s="105">
        <f>IF(AB$34=0,-$B102,IF(AB$34&gt;Assumptions!$B$20,0,($D102*$E102*AB$35)-AB$36-MAX(0,($D102*$E102*AB$35)-AB$36-$B102/Assumptions!$B$31)*Assumptions!$B$33))</f>
        <v>4.9194367455741741</v>
      </c>
    </row>
    <row r="103" spans="1:28" outlineLevel="1" x14ac:dyDescent="0.3">
      <c r="A103" s="100">
        <f t="shared" si="9"/>
        <v>12</v>
      </c>
      <c r="B103" s="102" cm="1">
        <f t="array" ref="B103">INDEX($M$11:$S$11,MOD(ROW()-92,7)+1)</f>
        <v>65</v>
      </c>
      <c r="C103" s="101" cm="1">
        <f t="array" ref="C103">INDEX($L$12:$L$18,ROUNDUP((ROW()-91)/7,0))</f>
        <v>0.18</v>
      </c>
      <c r="D103" s="102">
        <f>Assumptions!$B$10*$C103</f>
        <v>78.84</v>
      </c>
      <c r="E103" s="103">
        <f>Assumptions!$B$23</f>
        <v>7.4999999999999997E-2</v>
      </c>
      <c r="F103" s="101">
        <f t="shared" si="10"/>
        <v>3.5362629641802146E-2</v>
      </c>
      <c r="H103" s="105">
        <f>IF(H$34=0,-$B103,IF(H$34&gt;Assumptions!$B$20,0,($D103*$E103*H$35)-H$36-MAX(0,($D103*$E103*H$35)-H$36-$B103/Assumptions!$B$31)*Assumptions!$B$33))</f>
        <v>-65</v>
      </c>
      <c r="I103" s="105">
        <f>IF(I$34=0,-$B103,IF(I$34&gt;Assumptions!$B$20,0,($D103*$E103*I$35)-I$36-MAX(0,($D103*$E103*I$35)-I$36-$B103/Assumptions!$B$31)*Assumptions!$B$33))</f>
        <v>4.2740999999999998</v>
      </c>
      <c r="J103" s="105">
        <f>IF(J$34=0,-$B103,IF(J$34&gt;Assumptions!$B$20,0,($D103*$E103*J$35)-J$36-MAX(0,($D103*$E103*J$35)-J$36-$B103/Assumptions!$B$31)*Assumptions!$B$33))</f>
        <v>4.3109865000000003</v>
      </c>
      <c r="K103" s="105">
        <f>IF(K$34=0,-$B103,IF(K$34&gt;Assumptions!$B$20,0,($D103*$E103*K$35)-K$36-MAX(0,($D103*$E103*K$35)-K$36-$B103/Assumptions!$B$31)*Assumptions!$B$33))</f>
        <v>4.3480482974999983</v>
      </c>
      <c r="L103" s="105">
        <f>IF(L$34=0,-$B103,IF(L$34&gt;Assumptions!$B$20,0,($D103*$E103*L$35)-L$36-MAX(0,($D103*$E103*L$35)-L$36-$B103/Assumptions!$B$31)*Assumptions!$B$33))</f>
        <v>4.3852766819624991</v>
      </c>
      <c r="M103" s="105">
        <f>IF(M$34=0,-$B103,IF(M$34&gt;Assumptions!$B$20,0,($D103*$E103*M$35)-M$36-MAX(0,($D103*$E103*M$35)-M$36-$B103/Assumptions!$B$31)*Assumptions!$B$33))</f>
        <v>4.4226624719919352</v>
      </c>
      <c r="N103" s="105">
        <f>IF(N$34=0,-$B103,IF(N$34&gt;Assumptions!$B$20,0,($D103*$E103*N$35)-N$36-MAX(0,($D103*$E103*N$35)-N$36-$B103/Assumptions!$B$31)*Assumptions!$B$33))</f>
        <v>4.4601959980658137</v>
      </c>
      <c r="O103" s="105">
        <f>IF(O$34=0,-$B103,IF(O$34&gt;Assumptions!$B$20,0,($D103*$E103*O$35)-O$36-MAX(0,($D103*$E103*O$35)-O$36-$B103/Assumptions!$B$31)*Assumptions!$B$33))</f>
        <v>4.4978670847006201</v>
      </c>
      <c r="P103" s="105">
        <f>IF(P$34=0,-$B103,IF(P$34&gt;Assumptions!$B$20,0,($D103*$E103*P$35)-P$36-MAX(0,($D103*$E103*P$35)-P$36-$B103/Assumptions!$B$31)*Assumptions!$B$33))</f>
        <v>4.5356650320348635</v>
      </c>
      <c r="Q103" s="105">
        <f>IF(Q$34=0,-$B103,IF(Q$34&gt;Assumptions!$B$20,0,($D103*$E103*Q$35)-Q$36-MAX(0,($D103*$E103*Q$35)-Q$36-$B103/Assumptions!$B$31)*Assumptions!$B$33))</f>
        <v>4.573578596811033</v>
      </c>
      <c r="R103" s="105">
        <f>IF(R$34=0,-$B103,IF(R$34&gt;Assumptions!$B$20,0,($D103*$E103*R$35)-R$36-MAX(0,($D103*$E103*R$35)-R$36-$B103/Assumptions!$B$31)*Assumptions!$B$33))</f>
        <v>4.6115959727377138</v>
      </c>
      <c r="S103" s="105">
        <f>IF(S$34=0,-$B103,IF(S$34&gt;Assumptions!$B$20,0,($D103*$E103*S$35)-S$36-MAX(0,($D103*$E103*S$35)-S$36-$B103/Assumptions!$B$31)*Assumptions!$B$33))</f>
        <v>4.64970477021253</v>
      </c>
      <c r="T103" s="105">
        <f>IF(T$34=0,-$B103,IF(T$34&gt;Assumptions!$B$20,0,($D103*$E103*T$35)-T$36-MAX(0,($D103*$E103*T$35)-T$36-$B103/Assumptions!$B$31)*Assumptions!$B$33))</f>
        <v>4.6878919953859821</v>
      </c>
      <c r="U103" s="105">
        <f>IF(U$34=0,-$B103,IF(U$34&gt;Assumptions!$B$20,0,($D103*$E103*U$35)-U$36-MAX(0,($D103*$E103*U$35)-U$36-$B103/Assumptions!$B$31)*Assumptions!$B$33))</f>
        <v>4.7261440285456429</v>
      </c>
      <c r="V103" s="105">
        <f>IF(V$34=0,-$B103,IF(V$34&gt;Assumptions!$B$20,0,($D103*$E103*V$35)-V$36-MAX(0,($D103*$E103*V$35)-V$36-$B103/Assumptions!$B$31)*Assumptions!$B$33))</f>
        <v>4.7644466017995653</v>
      </c>
      <c r="W103" s="105">
        <f>IF(W$34=0,-$B103,IF(W$34&gt;Assumptions!$B$20,0,($D103*$E103*W$35)-W$36-MAX(0,($D103*$E103*W$35)-W$36-$B103/Assumptions!$B$31)*Assumptions!$B$33))</f>
        <v>4.8027847760370674</v>
      </c>
      <c r="X103" s="105">
        <f>IF(X$34=0,-$B103,IF(X$34&gt;Assumptions!$B$20,0,($D103*$E103*X$35)-X$36-MAX(0,($D103*$E103*X$35)-X$36-$B103/Assumptions!$B$31)*Assumptions!$B$33))</f>
        <v>4.8411429171444489</v>
      </c>
      <c r="Y103" s="105">
        <f>IF(Y$34=0,-$B103,IF(Y$34&gt;Assumptions!$B$20,0,($D103*$E103*Y$35)-Y$36-MAX(0,($D103*$E103*Y$35)-Y$36-$B103/Assumptions!$B$31)*Assumptions!$B$33))</f>
        <v>4.8795046714524446</v>
      </c>
      <c r="Z103" s="105">
        <f>IF(Z$34=0,-$B103,IF(Z$34&gt;Assumptions!$B$20,0,($D103*$E103*Z$35)-Z$36-MAX(0,($D103*$E103*Z$35)-Z$36-$B103/Assumptions!$B$31)*Assumptions!$B$33))</f>
        <v>4.9178529403915858</v>
      </c>
      <c r="AA103" s="105">
        <f>IF(AA$34=0,-$B103,IF(AA$34&gt;Assumptions!$B$20,0,($D103*$E103*AA$35)-AA$36-MAX(0,($D103*$E103*AA$35)-AA$36-$B103/Assumptions!$B$31)*Assumptions!$B$33))</f>
        <v>4.9561698543308355</v>
      </c>
      <c r="AB103" s="105">
        <f>IF(AB$34=0,-$B103,IF(AB$34&gt;Assumptions!$B$20,0,($D103*$E103*AB$35)-AB$36-MAX(0,($D103*$E103*AB$35)-AB$36-$B103/Assumptions!$B$31)*Assumptions!$B$33))</f>
        <v>4.9944367455741743</v>
      </c>
    </row>
    <row r="104" spans="1:28" outlineLevel="1" x14ac:dyDescent="0.3">
      <c r="A104" s="100">
        <f t="shared" si="9"/>
        <v>13</v>
      </c>
      <c r="B104" s="102" cm="1">
        <f t="array" ref="B104">INDEX($M$11:$S$11,MOD(ROW()-92,7)+1)</f>
        <v>70</v>
      </c>
      <c r="C104" s="101" cm="1">
        <f t="array" ref="C104">INDEX($L$12:$L$18,ROUNDUP((ROW()-91)/7,0))</f>
        <v>0.18</v>
      </c>
      <c r="D104" s="102">
        <f>Assumptions!$B$10*$C104</f>
        <v>78.84</v>
      </c>
      <c r="E104" s="103">
        <f>Assumptions!$B$23</f>
        <v>7.4999999999999997E-2</v>
      </c>
      <c r="F104" s="101">
        <f t="shared" si="10"/>
        <v>2.9211304449601627E-2</v>
      </c>
      <c r="H104" s="105">
        <f>IF(H$34=0,-$B104,IF(H$34&gt;Assumptions!$B$20,0,($D104*$E104*H$35)-H$36-MAX(0,($D104*$E104*H$35)-H$36-$B104/Assumptions!$B$31)*Assumptions!$B$33))</f>
        <v>-70</v>
      </c>
      <c r="I104" s="105">
        <f>IF(I$34=0,-$B104,IF(I$34&gt;Assumptions!$B$20,0,($D104*$E104*I$35)-I$36-MAX(0,($D104*$E104*I$35)-I$36-$B104/Assumptions!$B$31)*Assumptions!$B$33))</f>
        <v>4.3491</v>
      </c>
      <c r="J104" s="105">
        <f>IF(J$34=0,-$B104,IF(J$34&gt;Assumptions!$B$20,0,($D104*$E104*J$35)-J$36-MAX(0,($D104*$E104*J$35)-J$36-$B104/Assumptions!$B$31)*Assumptions!$B$33))</f>
        <v>4.3859864999999996</v>
      </c>
      <c r="K104" s="105">
        <f>IF(K$34=0,-$B104,IF(K$34&gt;Assumptions!$B$20,0,($D104*$E104*K$35)-K$36-MAX(0,($D104*$E104*K$35)-K$36-$B104/Assumptions!$B$31)*Assumptions!$B$33))</f>
        <v>4.4230482974999985</v>
      </c>
      <c r="L104" s="105">
        <f>IF(L$34=0,-$B104,IF(L$34&gt;Assumptions!$B$20,0,($D104*$E104*L$35)-L$36-MAX(0,($D104*$E104*L$35)-L$36-$B104/Assumptions!$B$31)*Assumptions!$B$33))</f>
        <v>4.4602766819624984</v>
      </c>
      <c r="M104" s="105">
        <f>IF(M$34=0,-$B104,IF(M$34&gt;Assumptions!$B$20,0,($D104*$E104*M$35)-M$36-MAX(0,($D104*$E104*M$35)-M$36-$B104/Assumptions!$B$31)*Assumptions!$B$33))</f>
        <v>4.4976624719919354</v>
      </c>
      <c r="N104" s="105">
        <f>IF(N$34=0,-$B104,IF(N$34&gt;Assumptions!$B$20,0,($D104*$E104*N$35)-N$36-MAX(0,($D104*$E104*N$35)-N$36-$B104/Assumptions!$B$31)*Assumptions!$B$33))</f>
        <v>4.5351959980658139</v>
      </c>
      <c r="O104" s="105">
        <f>IF(O$34=0,-$B104,IF(O$34&gt;Assumptions!$B$20,0,($D104*$E104*O$35)-O$36-MAX(0,($D104*$E104*O$35)-O$36-$B104/Assumptions!$B$31)*Assumptions!$B$33))</f>
        <v>4.5728670847006203</v>
      </c>
      <c r="P104" s="105">
        <f>IF(P$34=0,-$B104,IF(P$34&gt;Assumptions!$B$20,0,($D104*$E104*P$35)-P$36-MAX(0,($D104*$E104*P$35)-P$36-$B104/Assumptions!$B$31)*Assumptions!$B$33))</f>
        <v>4.6106650320348637</v>
      </c>
      <c r="Q104" s="105">
        <f>IF(Q$34=0,-$B104,IF(Q$34&gt;Assumptions!$B$20,0,($D104*$E104*Q$35)-Q$36-MAX(0,($D104*$E104*Q$35)-Q$36-$B104/Assumptions!$B$31)*Assumptions!$B$33))</f>
        <v>4.6485785968110331</v>
      </c>
      <c r="R104" s="105">
        <f>IF(R$34=0,-$B104,IF(R$34&gt;Assumptions!$B$20,0,($D104*$E104*R$35)-R$36-MAX(0,($D104*$E104*R$35)-R$36-$B104/Assumptions!$B$31)*Assumptions!$B$33))</f>
        <v>4.6865959727377131</v>
      </c>
      <c r="S104" s="105">
        <f>IF(S$34=0,-$B104,IF(S$34&gt;Assumptions!$B$20,0,($D104*$E104*S$35)-S$36-MAX(0,($D104*$E104*S$35)-S$36-$B104/Assumptions!$B$31)*Assumptions!$B$33))</f>
        <v>4.7247047702125302</v>
      </c>
      <c r="T104" s="105">
        <f>IF(T$34=0,-$B104,IF(T$34&gt;Assumptions!$B$20,0,($D104*$E104*T$35)-T$36-MAX(0,($D104*$E104*T$35)-T$36-$B104/Assumptions!$B$31)*Assumptions!$B$33))</f>
        <v>4.7628919953859823</v>
      </c>
      <c r="U104" s="105">
        <f>IF(U$34=0,-$B104,IF(U$34&gt;Assumptions!$B$20,0,($D104*$E104*U$35)-U$36-MAX(0,($D104*$E104*U$35)-U$36-$B104/Assumptions!$B$31)*Assumptions!$B$33))</f>
        <v>4.801144028545643</v>
      </c>
      <c r="V104" s="105">
        <f>IF(V$34=0,-$B104,IF(V$34&gt;Assumptions!$B$20,0,($D104*$E104*V$35)-V$36-MAX(0,($D104*$E104*V$35)-V$36-$B104/Assumptions!$B$31)*Assumptions!$B$33))</f>
        <v>4.8394466017995645</v>
      </c>
      <c r="W104" s="105">
        <f>IF(W$34=0,-$B104,IF(W$34&gt;Assumptions!$B$20,0,($D104*$E104*W$35)-W$36-MAX(0,($D104*$E104*W$35)-W$36-$B104/Assumptions!$B$31)*Assumptions!$B$33))</f>
        <v>4.8777847760370676</v>
      </c>
      <c r="X104" s="105">
        <f>IF(X$34=0,-$B104,IF(X$34&gt;Assumptions!$B$20,0,($D104*$E104*X$35)-X$36-MAX(0,($D104*$E104*X$35)-X$36-$B104/Assumptions!$B$31)*Assumptions!$B$33))</f>
        <v>4.9161429171444482</v>
      </c>
      <c r="Y104" s="105">
        <f>IF(Y$34=0,-$B104,IF(Y$34&gt;Assumptions!$B$20,0,($D104*$E104*Y$35)-Y$36-MAX(0,($D104*$E104*Y$35)-Y$36-$B104/Assumptions!$B$31)*Assumptions!$B$33))</f>
        <v>4.9545046714524448</v>
      </c>
      <c r="Z104" s="105">
        <f>IF(Z$34=0,-$B104,IF(Z$34&gt;Assumptions!$B$20,0,($D104*$E104*Z$35)-Z$36-MAX(0,($D104*$E104*Z$35)-Z$36-$B104/Assumptions!$B$31)*Assumptions!$B$33))</f>
        <v>4.992852940391586</v>
      </c>
      <c r="AA104" s="105">
        <f>IF(AA$34=0,-$B104,IF(AA$34&gt;Assumptions!$B$20,0,($D104*$E104*AA$35)-AA$36-MAX(0,($D104*$E104*AA$35)-AA$36-$B104/Assumptions!$B$31)*Assumptions!$B$33))</f>
        <v>5.0311698543308356</v>
      </c>
      <c r="AB104" s="105">
        <f>IF(AB$34=0,-$B104,IF(AB$34&gt;Assumptions!$B$20,0,($D104*$E104*AB$35)-AB$36-MAX(0,($D104*$E104*AB$35)-AB$36-$B104/Assumptions!$B$31)*Assumptions!$B$33))</f>
        <v>5.0694367455741745</v>
      </c>
    </row>
    <row r="105" spans="1:28" outlineLevel="1" x14ac:dyDescent="0.3">
      <c r="A105" s="100">
        <f t="shared" si="9"/>
        <v>14</v>
      </c>
      <c r="B105" s="102" cm="1">
        <f t="array" ref="B105">INDEX($M$11:$S$11,MOD(ROW()-92,7)+1)</f>
        <v>75</v>
      </c>
      <c r="C105" s="101" cm="1">
        <f t="array" ref="C105">INDEX($L$12:$L$18,ROUNDUP((ROW()-91)/7,0))</f>
        <v>0.18</v>
      </c>
      <c r="D105" s="102">
        <f>Assumptions!$B$10*$C105</f>
        <v>78.84</v>
      </c>
      <c r="E105" s="103">
        <f>Assumptions!$B$23</f>
        <v>7.4999999999999997E-2</v>
      </c>
      <c r="F105" s="101">
        <f t="shared" si="10"/>
        <v>2.3708351851390086E-2</v>
      </c>
      <c r="H105" s="105">
        <f>IF(H$34=0,-$B105,IF(H$34&gt;Assumptions!$B$20,0,($D105*$E105*H$35)-H$36-MAX(0,($D105*$E105*H$35)-H$36-$B105/Assumptions!$B$31)*Assumptions!$B$33))</f>
        <v>-75</v>
      </c>
      <c r="I105" s="105">
        <f>IF(I$34=0,-$B105,IF(I$34&gt;Assumptions!$B$20,0,($D105*$E105*I$35)-I$36-MAX(0,($D105*$E105*I$35)-I$36-$B105/Assumptions!$B$31)*Assumptions!$B$33))</f>
        <v>4.4241000000000001</v>
      </c>
      <c r="J105" s="105">
        <f>IF(J$34=0,-$B105,IF(J$34&gt;Assumptions!$B$20,0,($D105*$E105*J$35)-J$36-MAX(0,($D105*$E105*J$35)-J$36-$B105/Assumptions!$B$31)*Assumptions!$B$33))</f>
        <v>4.4609864999999997</v>
      </c>
      <c r="K105" s="105">
        <f>IF(K$34=0,-$B105,IF(K$34&gt;Assumptions!$B$20,0,($D105*$E105*K$35)-K$36-MAX(0,($D105*$E105*K$35)-K$36-$B105/Assumptions!$B$31)*Assumptions!$B$33))</f>
        <v>4.4980482974999987</v>
      </c>
      <c r="L105" s="105">
        <f>IF(L$34=0,-$B105,IF(L$34&gt;Assumptions!$B$20,0,($D105*$E105*L$35)-L$36-MAX(0,($D105*$E105*L$35)-L$36-$B105/Assumptions!$B$31)*Assumptions!$B$33))</f>
        <v>4.5352766819624986</v>
      </c>
      <c r="M105" s="105">
        <f>IF(M$34=0,-$B105,IF(M$34&gt;Assumptions!$B$20,0,($D105*$E105*M$35)-M$36-MAX(0,($D105*$E105*M$35)-M$36-$B105/Assumptions!$B$31)*Assumptions!$B$33))</f>
        <v>4.5726624719919355</v>
      </c>
      <c r="N105" s="105">
        <f>IF(N$34=0,-$B105,IF(N$34&gt;Assumptions!$B$20,0,($D105*$E105*N$35)-N$36-MAX(0,($D105*$E105*N$35)-N$36-$B105/Assumptions!$B$31)*Assumptions!$B$33))</f>
        <v>4.610195998065814</v>
      </c>
      <c r="O105" s="105">
        <f>IF(O$34=0,-$B105,IF(O$34&gt;Assumptions!$B$20,0,($D105*$E105*O$35)-O$36-MAX(0,($D105*$E105*O$35)-O$36-$B105/Assumptions!$B$31)*Assumptions!$B$33))</f>
        <v>4.6478670847006205</v>
      </c>
      <c r="P105" s="105">
        <f>IF(P$34=0,-$B105,IF(P$34&gt;Assumptions!$B$20,0,($D105*$E105*P$35)-P$36-MAX(0,($D105*$E105*P$35)-P$36-$B105/Assumptions!$B$31)*Assumptions!$B$33))</f>
        <v>4.685665032034863</v>
      </c>
      <c r="Q105" s="105">
        <f>IF(Q$34=0,-$B105,IF(Q$34&gt;Assumptions!$B$20,0,($D105*$E105*Q$35)-Q$36-MAX(0,($D105*$E105*Q$35)-Q$36-$B105/Assumptions!$B$31)*Assumptions!$B$33))</f>
        <v>4.7235785968110324</v>
      </c>
      <c r="R105" s="105">
        <f>IF(R$34=0,-$B105,IF(R$34&gt;Assumptions!$B$20,0,($D105*$E105*R$35)-R$36-MAX(0,($D105*$E105*R$35)-R$36-$B105/Assumptions!$B$31)*Assumptions!$B$33))</f>
        <v>4.7615959727377133</v>
      </c>
      <c r="S105" s="105">
        <f>IF(S$34=0,-$B105,IF(S$34&gt;Assumptions!$B$20,0,($D105*$E105*S$35)-S$36-MAX(0,($D105*$E105*S$35)-S$36-$B105/Assumptions!$B$31)*Assumptions!$B$33))</f>
        <v>4.7997047702125304</v>
      </c>
      <c r="T105" s="105">
        <f>IF(T$34=0,-$B105,IF(T$34&gt;Assumptions!$B$20,0,($D105*$E105*T$35)-T$36-MAX(0,($D105*$E105*T$35)-T$36-$B105/Assumptions!$B$31)*Assumptions!$B$33))</f>
        <v>4.8378919953859825</v>
      </c>
      <c r="U105" s="105">
        <f>IF(U$34=0,-$B105,IF(U$34&gt;Assumptions!$B$20,0,($D105*$E105*U$35)-U$36-MAX(0,($D105*$E105*U$35)-U$36-$B105/Assumptions!$B$31)*Assumptions!$B$33))</f>
        <v>4.8761440285456432</v>
      </c>
      <c r="V105" s="105">
        <f>IF(V$34=0,-$B105,IF(V$34&gt;Assumptions!$B$20,0,($D105*$E105*V$35)-V$36-MAX(0,($D105*$E105*V$35)-V$36-$B105/Assumptions!$B$31)*Assumptions!$B$33))</f>
        <v>4.9144466017995647</v>
      </c>
      <c r="W105" s="105">
        <f>IF(W$34=0,-$B105,IF(W$34&gt;Assumptions!$B$20,0,($D105*$E105*W$35)-W$36-MAX(0,($D105*$E105*W$35)-W$36-$B105/Assumptions!$B$31)*Assumptions!$B$33))</f>
        <v>4.9527847760370669</v>
      </c>
      <c r="X105" s="105">
        <f>IF(X$34=0,-$B105,IF(X$34&gt;Assumptions!$B$20,0,($D105*$E105*X$35)-X$36-MAX(0,($D105*$E105*X$35)-X$36-$B105/Assumptions!$B$31)*Assumptions!$B$33))</f>
        <v>4.9911429171444484</v>
      </c>
      <c r="Y105" s="105">
        <f>IF(Y$34=0,-$B105,IF(Y$34&gt;Assumptions!$B$20,0,($D105*$E105*Y$35)-Y$36-MAX(0,($D105*$E105*Y$35)-Y$36-$B105/Assumptions!$B$31)*Assumptions!$B$33))</f>
        <v>5.029504671452445</v>
      </c>
      <c r="Z105" s="105">
        <f>IF(Z$34=0,-$B105,IF(Z$34&gt;Assumptions!$B$20,0,($D105*$E105*Z$35)-Z$36-MAX(0,($D105*$E105*Z$35)-Z$36-$B105/Assumptions!$B$31)*Assumptions!$B$33))</f>
        <v>5.0678529403915862</v>
      </c>
      <c r="AA105" s="105">
        <f>IF(AA$34=0,-$B105,IF(AA$34&gt;Assumptions!$B$20,0,($D105*$E105*AA$35)-AA$36-MAX(0,($D105*$E105*AA$35)-AA$36-$B105/Assumptions!$B$31)*Assumptions!$B$33))</f>
        <v>5.1061698543308358</v>
      </c>
      <c r="AB105" s="105">
        <f>IF(AB$34=0,-$B105,IF(AB$34&gt;Assumptions!$B$20,0,($D105*$E105*AB$35)-AB$36-MAX(0,($D105*$E105*AB$35)-AB$36-$B105/Assumptions!$B$31)*Assumptions!$B$33))</f>
        <v>5.1444367455741737</v>
      </c>
    </row>
    <row r="106" spans="1:28" outlineLevel="1" x14ac:dyDescent="0.3">
      <c r="A106" s="100">
        <f t="shared" si="9"/>
        <v>15</v>
      </c>
      <c r="B106" s="102" cm="1">
        <f t="array" ref="B106">INDEX($M$11:$S$11,MOD(ROW()-92,7)+1)</f>
        <v>45</v>
      </c>
      <c r="C106" s="101" cm="1">
        <f t="array" ref="C106">INDEX($L$12:$L$18,ROUNDUP((ROW()-91)/7,0))</f>
        <v>0.19500000000000001</v>
      </c>
      <c r="D106" s="102">
        <f>Assumptions!$B$10*$C106</f>
        <v>85.41</v>
      </c>
      <c r="E106" s="103">
        <f>Assumptions!$B$23</f>
        <v>7.4999999999999997E-2</v>
      </c>
      <c r="F106" s="101">
        <f t="shared" si="10"/>
        <v>8.1117302613061826E-2</v>
      </c>
      <c r="H106" s="105">
        <f>IF(H$34=0,-$B106,IF(H$34&gt;Assumptions!$B$20,0,($D106*$E106*H$35)-H$36-MAX(0,($D106*$E106*H$35)-H$36-$B106/Assumptions!$B$31)*Assumptions!$B$33))</f>
        <v>-45</v>
      </c>
      <c r="I106" s="105">
        <f>IF(I$34=0,-$B106,IF(I$34&gt;Assumptions!$B$20,0,($D106*$E106*I$35)-I$36-MAX(0,($D106*$E106*I$35)-I$36-$B106/Assumptions!$B$31)*Assumptions!$B$33))</f>
        <v>4.3190249999999999</v>
      </c>
      <c r="J106" s="105">
        <f>IF(J$34=0,-$B106,IF(J$34&gt;Assumptions!$B$20,0,($D106*$E106*J$35)-J$36-MAX(0,($D106*$E106*J$35)-J$36-$B106/Assumptions!$B$31)*Assumptions!$B$33))</f>
        <v>4.3610853749999992</v>
      </c>
      <c r="K106" s="105">
        <f>IF(K$34=0,-$B106,IF(K$34&gt;Assumptions!$B$20,0,($D106*$E106*K$35)-K$36-MAX(0,($D106*$E106*K$35)-K$36-$B106/Assumptions!$B$31)*Assumptions!$B$33))</f>
        <v>4.403398655624998</v>
      </c>
      <c r="L106" s="105">
        <f>IF(L$34=0,-$B106,IF(L$34&gt;Assumptions!$B$20,0,($D106*$E106*L$35)-L$36-MAX(0,($D106*$E106*L$35)-L$36-$B106/Assumptions!$B$31)*Assumptions!$B$33))</f>
        <v>4.4459572954593725</v>
      </c>
      <c r="M106" s="105">
        <f>IF(M$34=0,-$B106,IF(M$34&gt;Assumptions!$B$20,0,($D106*$E106*M$35)-M$36-MAX(0,($D106*$E106*M$35)-M$36-$B106/Assumptions!$B$31)*Assumptions!$B$33))</f>
        <v>4.4887532946912625</v>
      </c>
      <c r="N106" s="105">
        <f>IF(N$34=0,-$B106,IF(N$34&gt;Assumptions!$B$20,0,($D106*$E106*N$35)-N$36-MAX(0,($D106*$E106*N$35)-N$36-$B106/Assumptions!$B$31)*Assumptions!$B$33))</f>
        <v>4.5317781831056312</v>
      </c>
      <c r="O106" s="105">
        <f>IF(O$34=0,-$B106,IF(O$34&gt;Assumptions!$B$20,0,($D106*$E106*O$35)-O$36-MAX(0,($D106*$E106*O$35)-O$36-$B106/Assumptions!$B$31)*Assumptions!$B$33))</f>
        <v>4.5750230025160343</v>
      </c>
      <c r="P106" s="105">
        <f>IF(P$34=0,-$B106,IF(P$34&gt;Assumptions!$B$20,0,($D106*$E106*P$35)-P$36-MAX(0,($D106*$E106*P$35)-P$36-$B106/Assumptions!$B$31)*Assumptions!$B$33))</f>
        <v>4.6184782886175091</v>
      </c>
      <c r="Q106" s="105">
        <f>IF(Q$34=0,-$B106,IF(Q$34&gt;Assumptions!$B$20,0,($D106*$E106*Q$35)-Q$36-MAX(0,($D106*$E106*Q$35)-Q$36-$B106/Assumptions!$B$31)*Assumptions!$B$33))</f>
        <v>4.6621340522424184</v>
      </c>
      <c r="R106" s="105">
        <f>IF(R$34=0,-$B106,IF(R$34&gt;Assumptions!$B$20,0,($D106*$E106*R$35)-R$36-MAX(0,($D106*$E106*R$35)-R$36-$B106/Assumptions!$B$31)*Assumptions!$B$33))</f>
        <v>4.7059797600005702</v>
      </c>
      <c r="S106" s="105">
        <f>IF(S$34=0,-$B106,IF(S$34&gt;Assumptions!$B$20,0,($D106*$E106*S$35)-S$36-MAX(0,($D106*$E106*S$35)-S$36-$B106/Assumptions!$B$31)*Assumptions!$B$33))</f>
        <v>4.7500043142843289</v>
      </c>
      <c r="T106" s="105">
        <f>IF(T$34=0,-$B106,IF(T$34&gt;Assumptions!$B$20,0,($D106*$E106*T$35)-T$36-MAX(0,($D106*$E106*T$35)-T$36-$B106/Assumptions!$B$31)*Assumptions!$B$33))</f>
        <v>4.7941960326188573</v>
      </c>
      <c r="U106" s="105">
        <f>IF(U$34=0,-$B106,IF(U$34&gt;Assumptions!$B$20,0,($D106*$E106*U$35)-U$36-MAX(0,($D106*$E106*U$35)-U$36-$B106/Assumptions!$B$31)*Assumptions!$B$33))</f>
        <v>4.8385426263370119</v>
      </c>
      <c r="V106" s="105">
        <f>IF(V$34=0,-$B106,IF(V$34&gt;Assumptions!$B$20,0,($D106*$E106*V$35)-V$36-MAX(0,($D106*$E106*V$35)-V$36-$B106/Assumptions!$B$31)*Assumptions!$B$33))</f>
        <v>4.883031178557804</v>
      </c>
      <c r="W106" s="105">
        <f>IF(W$34=0,-$B106,IF(W$34&gt;Assumptions!$B$20,0,($D106*$E106*W$35)-W$36-MAX(0,($D106*$E106*W$35)-W$36-$B106/Assumptions!$B$31)*Assumptions!$B$33))</f>
        <v>4.9276481214466799</v>
      </c>
      <c r="X106" s="105">
        <f>IF(X$34=0,-$B106,IF(X$34&gt;Assumptions!$B$20,0,($D106*$E106*X$35)-X$36-MAX(0,($D106*$E106*X$35)-X$36-$B106/Assumptions!$B$31)*Assumptions!$B$33))</f>
        <v>4.9723792127352047</v>
      </c>
      <c r="Y106" s="105">
        <f>IF(Y$34=0,-$B106,IF(Y$34&gt;Assumptions!$B$20,0,($D106*$E106*Y$35)-Y$36-MAX(0,($D106*$E106*Y$35)-Y$36-$B106/Assumptions!$B$31)*Assumptions!$B$33))</f>
        <v>5.0172095114770627</v>
      </c>
      <c r="Z106" s="105">
        <f>IF(Z$34=0,-$B106,IF(Z$34&gt;Assumptions!$B$20,0,($D106*$E106*Z$35)-Z$36-MAX(0,($D106*$E106*Z$35)-Z$36-$B106/Assumptions!$B$31)*Assumptions!$B$33))</f>
        <v>5.062123353016573</v>
      </c>
      <c r="AA106" s="105">
        <f>IF(AA$34=0,-$B106,IF(AA$34&gt;Assumptions!$B$20,0,($D106*$E106*AA$35)-AA$36-MAX(0,($D106*$E106*AA$35)-AA$36-$B106/Assumptions!$B$31)*Assumptions!$B$33))</f>
        <v>5.1071043231451974</v>
      </c>
      <c r="AB106" s="105">
        <f>IF(AB$34=0,-$B106,IF(AB$34&gt;Assumptions!$B$20,0,($D106*$E106*AB$35)-AB$36-MAX(0,($D106*$E106*AB$35)-AB$36-$B106/Assumptions!$B$31)*Assumptions!$B$33))</f>
        <v>5.1521352314207514</v>
      </c>
    </row>
    <row r="107" spans="1:28" outlineLevel="1" x14ac:dyDescent="0.3">
      <c r="A107" s="100">
        <f t="shared" si="9"/>
        <v>16</v>
      </c>
      <c r="B107" s="102" cm="1">
        <f t="array" ref="B107">INDEX($M$11:$S$11,MOD(ROW()-92,7)+1)</f>
        <v>50</v>
      </c>
      <c r="C107" s="101" cm="1">
        <f t="array" ref="C107">INDEX($L$12:$L$18,ROUNDUP((ROW()-91)/7,0))</f>
        <v>0.19500000000000001</v>
      </c>
      <c r="D107" s="102">
        <f>Assumptions!$B$10*$C107</f>
        <v>85.41</v>
      </c>
      <c r="E107" s="103">
        <f>Assumptions!$B$23</f>
        <v>7.4999999999999997E-2</v>
      </c>
      <c r="F107" s="101">
        <f t="shared" si="10"/>
        <v>6.9747714726962284E-2</v>
      </c>
      <c r="H107" s="105">
        <f>IF(H$34=0,-$B107,IF(H$34&gt;Assumptions!$B$20,0,($D107*$E107*H$35)-H$36-MAX(0,($D107*$E107*H$35)-H$36-$B107/Assumptions!$B$31)*Assumptions!$B$33))</f>
        <v>-50</v>
      </c>
      <c r="I107" s="105">
        <f>IF(I$34=0,-$B107,IF(I$34&gt;Assumptions!$B$20,0,($D107*$E107*I$35)-I$36-MAX(0,($D107*$E107*I$35)-I$36-$B107/Assumptions!$B$31)*Assumptions!$B$33))</f>
        <v>4.3940249999999992</v>
      </c>
      <c r="J107" s="105">
        <f>IF(J$34=0,-$B107,IF(J$34&gt;Assumptions!$B$20,0,($D107*$E107*J$35)-J$36-MAX(0,($D107*$E107*J$35)-J$36-$B107/Assumptions!$B$31)*Assumptions!$B$33))</f>
        <v>4.4360853749999993</v>
      </c>
      <c r="K107" s="105">
        <f>IF(K$34=0,-$B107,IF(K$34&gt;Assumptions!$B$20,0,($D107*$E107*K$35)-K$36-MAX(0,($D107*$E107*K$35)-K$36-$B107/Assumptions!$B$31)*Assumptions!$B$33))</f>
        <v>4.4783986556249982</v>
      </c>
      <c r="L107" s="105">
        <f>IF(L$34=0,-$B107,IF(L$34&gt;Assumptions!$B$20,0,($D107*$E107*L$35)-L$36-MAX(0,($D107*$E107*L$35)-L$36-$B107/Assumptions!$B$31)*Assumptions!$B$33))</f>
        <v>4.5209572954593726</v>
      </c>
      <c r="M107" s="105">
        <f>IF(M$34=0,-$B107,IF(M$34&gt;Assumptions!$B$20,0,($D107*$E107*M$35)-M$36-MAX(0,($D107*$E107*M$35)-M$36-$B107/Assumptions!$B$31)*Assumptions!$B$33))</f>
        <v>4.5637532946912627</v>
      </c>
      <c r="N107" s="105">
        <f>IF(N$34=0,-$B107,IF(N$34&gt;Assumptions!$B$20,0,($D107*$E107*N$35)-N$36-MAX(0,($D107*$E107*N$35)-N$36-$B107/Assumptions!$B$31)*Assumptions!$B$33))</f>
        <v>4.6067781831056305</v>
      </c>
      <c r="O107" s="105">
        <f>IF(O$34=0,-$B107,IF(O$34&gt;Assumptions!$B$20,0,($D107*$E107*O$35)-O$36-MAX(0,($D107*$E107*O$35)-O$36-$B107/Assumptions!$B$31)*Assumptions!$B$33))</f>
        <v>4.6500230025160345</v>
      </c>
      <c r="P107" s="105">
        <f>IF(P$34=0,-$B107,IF(P$34&gt;Assumptions!$B$20,0,($D107*$E107*P$35)-P$36-MAX(0,($D107*$E107*P$35)-P$36-$B107/Assumptions!$B$31)*Assumptions!$B$33))</f>
        <v>4.6934782886175093</v>
      </c>
      <c r="Q107" s="105">
        <f>IF(Q$34=0,-$B107,IF(Q$34&gt;Assumptions!$B$20,0,($D107*$E107*Q$35)-Q$36-MAX(0,($D107*$E107*Q$35)-Q$36-$B107/Assumptions!$B$31)*Assumptions!$B$33))</f>
        <v>4.7371340522424177</v>
      </c>
      <c r="R107" s="105">
        <f>IF(R$34=0,-$B107,IF(R$34&gt;Assumptions!$B$20,0,($D107*$E107*R$35)-R$36-MAX(0,($D107*$E107*R$35)-R$36-$B107/Assumptions!$B$31)*Assumptions!$B$33))</f>
        <v>4.7809797600005695</v>
      </c>
      <c r="S107" s="105">
        <f>IF(S$34=0,-$B107,IF(S$34&gt;Assumptions!$B$20,0,($D107*$E107*S$35)-S$36-MAX(0,($D107*$E107*S$35)-S$36-$B107/Assumptions!$B$31)*Assumptions!$B$33))</f>
        <v>4.8250043142843291</v>
      </c>
      <c r="T107" s="105">
        <f>IF(T$34=0,-$B107,IF(T$34&gt;Assumptions!$B$20,0,($D107*$E107*T$35)-T$36-MAX(0,($D107*$E107*T$35)-T$36-$B107/Assumptions!$B$31)*Assumptions!$B$33))</f>
        <v>4.8691960326188575</v>
      </c>
      <c r="U107" s="105">
        <f>IF(U$34=0,-$B107,IF(U$34&gt;Assumptions!$B$20,0,($D107*$E107*U$35)-U$36-MAX(0,($D107*$E107*U$35)-U$36-$B107/Assumptions!$B$31)*Assumptions!$B$33))</f>
        <v>4.9135426263370121</v>
      </c>
      <c r="V107" s="105">
        <f>IF(V$34=0,-$B107,IF(V$34&gt;Assumptions!$B$20,0,($D107*$E107*V$35)-V$36-MAX(0,($D107*$E107*V$35)-V$36-$B107/Assumptions!$B$31)*Assumptions!$B$33))</f>
        <v>4.9580311785578042</v>
      </c>
      <c r="W107" s="105">
        <f>IF(W$34=0,-$B107,IF(W$34&gt;Assumptions!$B$20,0,($D107*$E107*W$35)-W$36-MAX(0,($D107*$E107*W$35)-W$36-$B107/Assumptions!$B$31)*Assumptions!$B$33))</f>
        <v>5.00264812144668</v>
      </c>
      <c r="X107" s="105">
        <f>IF(X$34=0,-$B107,IF(X$34&gt;Assumptions!$B$20,0,($D107*$E107*X$35)-X$36-MAX(0,($D107*$E107*X$35)-X$36-$B107/Assumptions!$B$31)*Assumptions!$B$33))</f>
        <v>5.0473792127352048</v>
      </c>
      <c r="Y107" s="105">
        <f>IF(Y$34=0,-$B107,IF(Y$34&gt;Assumptions!$B$20,0,($D107*$E107*Y$35)-Y$36-MAX(0,($D107*$E107*Y$35)-Y$36-$B107/Assumptions!$B$31)*Assumptions!$B$33))</f>
        <v>5.0922095114770629</v>
      </c>
      <c r="Z107" s="105">
        <f>IF(Z$34=0,-$B107,IF(Z$34&gt;Assumptions!$B$20,0,($D107*$E107*Z$35)-Z$36-MAX(0,($D107*$E107*Z$35)-Z$36-$B107/Assumptions!$B$31)*Assumptions!$B$33))</f>
        <v>5.1371233530165732</v>
      </c>
      <c r="AA107" s="105">
        <f>IF(AA$34=0,-$B107,IF(AA$34&gt;Assumptions!$B$20,0,($D107*$E107*AA$35)-AA$36-MAX(0,($D107*$E107*AA$35)-AA$36-$B107/Assumptions!$B$31)*Assumptions!$B$33))</f>
        <v>5.1821043231451975</v>
      </c>
      <c r="AB107" s="105">
        <f>IF(AB$34=0,-$B107,IF(AB$34&gt;Assumptions!$B$20,0,($D107*$E107*AB$35)-AB$36-MAX(0,($D107*$E107*AB$35)-AB$36-$B107/Assumptions!$B$31)*Assumptions!$B$33))</f>
        <v>5.2271352314207515</v>
      </c>
    </row>
    <row r="108" spans="1:28" outlineLevel="1" x14ac:dyDescent="0.3">
      <c r="A108" s="100">
        <f t="shared" si="9"/>
        <v>17</v>
      </c>
      <c r="B108" s="102" cm="1">
        <f t="array" ref="B108">INDEX($M$11:$S$11,MOD(ROW()-92,7)+1)</f>
        <v>55</v>
      </c>
      <c r="C108" s="101" cm="1">
        <f t="array" ref="C108">INDEX($L$12:$L$18,ROUNDUP((ROW()-91)/7,0))</f>
        <v>0.19500000000000001</v>
      </c>
      <c r="D108" s="102">
        <f>Assumptions!$B$10*$C108</f>
        <v>85.41</v>
      </c>
      <c r="E108" s="103">
        <f>Assumptions!$B$23</f>
        <v>7.4999999999999997E-2</v>
      </c>
      <c r="F108" s="101">
        <f t="shared" si="10"/>
        <v>6.0063965923921492E-2</v>
      </c>
      <c r="H108" s="105">
        <f>IF(H$34=0,-$B108,IF(H$34&gt;Assumptions!$B$20,0,($D108*$E108*H$35)-H$36-MAX(0,($D108*$E108*H$35)-H$36-$B108/Assumptions!$B$31)*Assumptions!$B$33))</f>
        <v>-55</v>
      </c>
      <c r="I108" s="105">
        <f>IF(I$34=0,-$B108,IF(I$34&gt;Assumptions!$B$20,0,($D108*$E108*I$35)-I$36-MAX(0,($D108*$E108*I$35)-I$36-$B108/Assumptions!$B$31)*Assumptions!$B$33))</f>
        <v>4.4690249999999994</v>
      </c>
      <c r="J108" s="105">
        <f>IF(J$34=0,-$B108,IF(J$34&gt;Assumptions!$B$20,0,($D108*$E108*J$35)-J$36-MAX(0,($D108*$E108*J$35)-J$36-$B108/Assumptions!$B$31)*Assumptions!$B$33))</f>
        <v>4.5110853749999986</v>
      </c>
      <c r="K108" s="105">
        <f>IF(K$34=0,-$B108,IF(K$34&gt;Assumptions!$B$20,0,($D108*$E108*K$35)-K$36-MAX(0,($D108*$E108*K$35)-K$36-$B108/Assumptions!$B$31)*Assumptions!$B$33))</f>
        <v>4.5533986556249983</v>
      </c>
      <c r="L108" s="105">
        <f>IF(L$34=0,-$B108,IF(L$34&gt;Assumptions!$B$20,0,($D108*$E108*L$35)-L$36-MAX(0,($D108*$E108*L$35)-L$36-$B108/Assumptions!$B$31)*Assumptions!$B$33))</f>
        <v>4.5959572954593728</v>
      </c>
      <c r="M108" s="105">
        <f>IF(M$34=0,-$B108,IF(M$34&gt;Assumptions!$B$20,0,($D108*$E108*M$35)-M$36-MAX(0,($D108*$E108*M$35)-M$36-$B108/Assumptions!$B$31)*Assumptions!$B$33))</f>
        <v>4.6387532946912629</v>
      </c>
      <c r="N108" s="105">
        <f>IF(N$34=0,-$B108,IF(N$34&gt;Assumptions!$B$20,0,($D108*$E108*N$35)-N$36-MAX(0,($D108*$E108*N$35)-N$36-$B108/Assumptions!$B$31)*Assumptions!$B$33))</f>
        <v>4.6817781831056307</v>
      </c>
      <c r="O108" s="105">
        <f>IF(O$34=0,-$B108,IF(O$34&gt;Assumptions!$B$20,0,($D108*$E108*O$35)-O$36-MAX(0,($D108*$E108*O$35)-O$36-$B108/Assumptions!$B$31)*Assumptions!$B$33))</f>
        <v>4.7250230025160338</v>
      </c>
      <c r="P108" s="105">
        <f>IF(P$34=0,-$B108,IF(P$34&gt;Assumptions!$B$20,0,($D108*$E108*P$35)-P$36-MAX(0,($D108*$E108*P$35)-P$36-$B108/Assumptions!$B$31)*Assumptions!$B$33))</f>
        <v>4.7684782886175086</v>
      </c>
      <c r="Q108" s="105">
        <f>IF(Q$34=0,-$B108,IF(Q$34&gt;Assumptions!$B$20,0,($D108*$E108*Q$35)-Q$36-MAX(0,($D108*$E108*Q$35)-Q$36-$B108/Assumptions!$B$31)*Assumptions!$B$33))</f>
        <v>4.8121340522424179</v>
      </c>
      <c r="R108" s="105">
        <f>IF(R$34=0,-$B108,IF(R$34&gt;Assumptions!$B$20,0,($D108*$E108*R$35)-R$36-MAX(0,($D108*$E108*R$35)-R$36-$B108/Assumptions!$B$31)*Assumptions!$B$33))</f>
        <v>4.8559797600005696</v>
      </c>
      <c r="S108" s="105">
        <f>IF(S$34=0,-$B108,IF(S$34&gt;Assumptions!$B$20,0,($D108*$E108*S$35)-S$36-MAX(0,($D108*$E108*S$35)-S$36-$B108/Assumptions!$B$31)*Assumptions!$B$33))</f>
        <v>4.9000043142843293</v>
      </c>
      <c r="T108" s="105">
        <f>IF(T$34=0,-$B108,IF(T$34&gt;Assumptions!$B$20,0,($D108*$E108*T$35)-T$36-MAX(0,($D108*$E108*T$35)-T$36-$B108/Assumptions!$B$31)*Assumptions!$B$33))</f>
        <v>4.9441960326188568</v>
      </c>
      <c r="U108" s="105">
        <f>IF(U$34=0,-$B108,IF(U$34&gt;Assumptions!$B$20,0,($D108*$E108*U$35)-U$36-MAX(0,($D108*$E108*U$35)-U$36-$B108/Assumptions!$B$31)*Assumptions!$B$33))</f>
        <v>4.9885426263370114</v>
      </c>
      <c r="V108" s="105">
        <f>IF(V$34=0,-$B108,IF(V$34&gt;Assumptions!$B$20,0,($D108*$E108*V$35)-V$36-MAX(0,($D108*$E108*V$35)-V$36-$B108/Assumptions!$B$31)*Assumptions!$B$33))</f>
        <v>5.0330311785578044</v>
      </c>
      <c r="W108" s="105">
        <f>IF(W$34=0,-$B108,IF(W$34&gt;Assumptions!$B$20,0,($D108*$E108*W$35)-W$36-MAX(0,($D108*$E108*W$35)-W$36-$B108/Assumptions!$B$31)*Assumptions!$B$33))</f>
        <v>5.0776481214466802</v>
      </c>
      <c r="X108" s="105">
        <f>IF(X$34=0,-$B108,IF(X$34&gt;Assumptions!$B$20,0,($D108*$E108*X$35)-X$36-MAX(0,($D108*$E108*X$35)-X$36-$B108/Assumptions!$B$31)*Assumptions!$B$33))</f>
        <v>5.1223792127352041</v>
      </c>
      <c r="Y108" s="105">
        <f>IF(Y$34=0,-$B108,IF(Y$34&gt;Assumptions!$B$20,0,($D108*$E108*Y$35)-Y$36-MAX(0,($D108*$E108*Y$35)-Y$36-$B108/Assumptions!$B$31)*Assumptions!$B$33))</f>
        <v>5.1672095114770631</v>
      </c>
      <c r="Z108" s="105">
        <f>IF(Z$34=0,-$B108,IF(Z$34&gt;Assumptions!$B$20,0,($D108*$E108*Z$35)-Z$36-MAX(0,($D108*$E108*Z$35)-Z$36-$B108/Assumptions!$B$31)*Assumptions!$B$33))</f>
        <v>5.2121233530165725</v>
      </c>
      <c r="AA108" s="105">
        <f>IF(AA$34=0,-$B108,IF(AA$34&gt;Assumptions!$B$20,0,($D108*$E108*AA$35)-AA$36-MAX(0,($D108*$E108*AA$35)-AA$36-$B108/Assumptions!$B$31)*Assumptions!$B$33))</f>
        <v>5.2571043231451977</v>
      </c>
      <c r="AB108" s="105">
        <f>IF(AB$34=0,-$B108,IF(AB$34&gt;Assumptions!$B$20,0,($D108*$E108*AB$35)-AB$36-MAX(0,($D108*$E108*AB$35)-AB$36-$B108/Assumptions!$B$31)*Assumptions!$B$33))</f>
        <v>5.3021352314207508</v>
      </c>
    </row>
    <row r="109" spans="1:28" outlineLevel="1" x14ac:dyDescent="0.3">
      <c r="A109" s="100">
        <f t="shared" si="9"/>
        <v>18</v>
      </c>
      <c r="B109" s="102" cm="1">
        <f t="array" ref="B109">INDEX($M$11:$S$11,MOD(ROW()-92,7)+1)</f>
        <v>60</v>
      </c>
      <c r="C109" s="101" cm="1">
        <f t="array" ref="C109">INDEX($L$12:$L$18,ROUNDUP((ROW()-91)/7,0))</f>
        <v>0.19500000000000001</v>
      </c>
      <c r="D109" s="102">
        <f>Assumptions!$B$10*$C109</f>
        <v>85.41</v>
      </c>
      <c r="E109" s="103">
        <f>Assumptions!$B$23</f>
        <v>7.4999999999999997E-2</v>
      </c>
      <c r="F109" s="101">
        <f t="shared" si="10"/>
        <v>5.1684034759089892E-2</v>
      </c>
      <c r="H109" s="105">
        <f>IF(H$34=0,-$B109,IF(H$34&gt;Assumptions!$B$20,0,($D109*$E109*H$35)-H$36-MAX(0,($D109*$E109*H$35)-H$36-$B109/Assumptions!$B$31)*Assumptions!$B$33))</f>
        <v>-60</v>
      </c>
      <c r="I109" s="105">
        <f>IF(I$34=0,-$B109,IF(I$34&gt;Assumptions!$B$20,0,($D109*$E109*I$35)-I$36-MAX(0,($D109*$E109*I$35)-I$36-$B109/Assumptions!$B$31)*Assumptions!$B$33))</f>
        <v>4.5440249999999995</v>
      </c>
      <c r="J109" s="105">
        <f>IF(J$34=0,-$B109,IF(J$34&gt;Assumptions!$B$20,0,($D109*$E109*J$35)-J$36-MAX(0,($D109*$E109*J$35)-J$36-$B109/Assumptions!$B$31)*Assumptions!$B$33))</f>
        <v>4.5860853749999988</v>
      </c>
      <c r="K109" s="105">
        <f>IF(K$34=0,-$B109,IF(K$34&gt;Assumptions!$B$20,0,($D109*$E109*K$35)-K$36-MAX(0,($D109*$E109*K$35)-K$36-$B109/Assumptions!$B$31)*Assumptions!$B$33))</f>
        <v>4.6283986556249985</v>
      </c>
      <c r="L109" s="105">
        <f>IF(L$34=0,-$B109,IF(L$34&gt;Assumptions!$B$20,0,($D109*$E109*L$35)-L$36-MAX(0,($D109*$E109*L$35)-L$36-$B109/Assumptions!$B$31)*Assumptions!$B$33))</f>
        <v>4.670957295459373</v>
      </c>
      <c r="M109" s="105">
        <f>IF(M$34=0,-$B109,IF(M$34&gt;Assumptions!$B$20,0,($D109*$E109*M$35)-M$36-MAX(0,($D109*$E109*M$35)-M$36-$B109/Assumptions!$B$31)*Assumptions!$B$33))</f>
        <v>4.713753294691263</v>
      </c>
      <c r="N109" s="105">
        <f>IF(N$34=0,-$B109,IF(N$34&gt;Assumptions!$B$20,0,($D109*$E109*N$35)-N$36-MAX(0,($D109*$E109*N$35)-N$36-$B109/Assumptions!$B$31)*Assumptions!$B$33))</f>
        <v>4.7567781831056308</v>
      </c>
      <c r="O109" s="105">
        <f>IF(O$34=0,-$B109,IF(O$34&gt;Assumptions!$B$20,0,($D109*$E109*O$35)-O$36-MAX(0,($D109*$E109*O$35)-O$36-$B109/Assumptions!$B$31)*Assumptions!$B$33))</f>
        <v>4.800023002516034</v>
      </c>
      <c r="P109" s="105">
        <f>IF(P$34=0,-$B109,IF(P$34&gt;Assumptions!$B$20,0,($D109*$E109*P$35)-P$36-MAX(0,($D109*$E109*P$35)-P$36-$B109/Assumptions!$B$31)*Assumptions!$B$33))</f>
        <v>4.8434782886175087</v>
      </c>
      <c r="Q109" s="105">
        <f>IF(Q$34=0,-$B109,IF(Q$34&gt;Assumptions!$B$20,0,($D109*$E109*Q$35)-Q$36-MAX(0,($D109*$E109*Q$35)-Q$36-$B109/Assumptions!$B$31)*Assumptions!$B$33))</f>
        <v>4.887134052242418</v>
      </c>
      <c r="R109" s="105">
        <f>IF(R$34=0,-$B109,IF(R$34&gt;Assumptions!$B$20,0,($D109*$E109*R$35)-R$36-MAX(0,($D109*$E109*R$35)-R$36-$B109/Assumptions!$B$31)*Assumptions!$B$33))</f>
        <v>4.9309797600005698</v>
      </c>
      <c r="S109" s="105">
        <f>IF(S$34=0,-$B109,IF(S$34&gt;Assumptions!$B$20,0,($D109*$E109*S$35)-S$36-MAX(0,($D109*$E109*S$35)-S$36-$B109/Assumptions!$B$31)*Assumptions!$B$33))</f>
        <v>4.9750043142843285</v>
      </c>
      <c r="T109" s="105">
        <f>IF(T$34=0,-$B109,IF(T$34&gt;Assumptions!$B$20,0,($D109*$E109*T$35)-T$36-MAX(0,($D109*$E109*T$35)-T$36-$B109/Assumptions!$B$31)*Assumptions!$B$33))</f>
        <v>5.0191960326188569</v>
      </c>
      <c r="U109" s="105">
        <f>IF(U$34=0,-$B109,IF(U$34&gt;Assumptions!$B$20,0,($D109*$E109*U$35)-U$36-MAX(0,($D109*$E109*U$35)-U$36-$B109/Assumptions!$B$31)*Assumptions!$B$33))</f>
        <v>5.0635426263370116</v>
      </c>
      <c r="V109" s="105">
        <f>IF(V$34=0,-$B109,IF(V$34&gt;Assumptions!$B$20,0,($D109*$E109*V$35)-V$36-MAX(0,($D109*$E109*V$35)-V$36-$B109/Assumptions!$B$31)*Assumptions!$B$33))</f>
        <v>5.1080311785578045</v>
      </c>
      <c r="W109" s="105">
        <f>IF(W$34=0,-$B109,IF(W$34&gt;Assumptions!$B$20,0,($D109*$E109*W$35)-W$36-MAX(0,($D109*$E109*W$35)-W$36-$B109/Assumptions!$B$31)*Assumptions!$B$33))</f>
        <v>5.1526481214466804</v>
      </c>
      <c r="X109" s="105">
        <f>IF(X$34=0,-$B109,IF(X$34&gt;Assumptions!$B$20,0,($D109*$E109*X$35)-X$36-MAX(0,($D109*$E109*X$35)-X$36-$B109/Assumptions!$B$31)*Assumptions!$B$33))</f>
        <v>5.1973792127352043</v>
      </c>
      <c r="Y109" s="105">
        <f>IF(Y$34=0,-$B109,IF(Y$34&gt;Assumptions!$B$20,0,($D109*$E109*Y$35)-Y$36-MAX(0,($D109*$E109*Y$35)-Y$36-$B109/Assumptions!$B$31)*Assumptions!$B$33))</f>
        <v>5.2422095114770633</v>
      </c>
      <c r="Z109" s="105">
        <f>IF(Z$34=0,-$B109,IF(Z$34&gt;Assumptions!$B$20,0,($D109*$E109*Z$35)-Z$36-MAX(0,($D109*$E109*Z$35)-Z$36-$B109/Assumptions!$B$31)*Assumptions!$B$33))</f>
        <v>5.2871233530165727</v>
      </c>
      <c r="AA109" s="105">
        <f>IF(AA$34=0,-$B109,IF(AA$34&gt;Assumptions!$B$20,0,($D109*$E109*AA$35)-AA$36-MAX(0,($D109*$E109*AA$35)-AA$36-$B109/Assumptions!$B$31)*Assumptions!$B$33))</f>
        <v>5.3321043231451979</v>
      </c>
      <c r="AB109" s="105">
        <f>IF(AB$34=0,-$B109,IF(AB$34&gt;Assumptions!$B$20,0,($D109*$E109*AB$35)-AB$36-MAX(0,($D109*$E109*AB$35)-AB$36-$B109/Assumptions!$B$31)*Assumptions!$B$33))</f>
        <v>5.377135231420751</v>
      </c>
    </row>
    <row r="110" spans="1:28" outlineLevel="1" x14ac:dyDescent="0.3">
      <c r="A110" s="100">
        <f t="shared" si="9"/>
        <v>19</v>
      </c>
      <c r="B110" s="102" cm="1">
        <f t="array" ref="B110">INDEX($M$11:$S$11,MOD(ROW()-92,7)+1)</f>
        <v>65</v>
      </c>
      <c r="C110" s="101" cm="1">
        <f t="array" ref="C110">INDEX($L$12:$L$18,ROUNDUP((ROW()-91)/7,0))</f>
        <v>0.19500000000000001</v>
      </c>
      <c r="D110" s="102">
        <f>Assumptions!$B$10*$C110</f>
        <v>85.41</v>
      </c>
      <c r="E110" s="103">
        <f>Assumptions!$B$23</f>
        <v>7.4999999999999997E-2</v>
      </c>
      <c r="F110" s="101">
        <f t="shared" si="10"/>
        <v>4.4337720216415466E-2</v>
      </c>
      <c r="H110" s="105">
        <f>IF(H$34=0,-$B110,IF(H$34&gt;Assumptions!$B$20,0,($D110*$E110*H$35)-H$36-MAX(0,($D110*$E110*H$35)-H$36-$B110/Assumptions!$B$31)*Assumptions!$B$33))</f>
        <v>-65</v>
      </c>
      <c r="I110" s="105">
        <f>IF(I$34=0,-$B110,IF(I$34&gt;Assumptions!$B$20,0,($D110*$E110*I$35)-I$36-MAX(0,($D110*$E110*I$35)-I$36-$B110/Assumptions!$B$31)*Assumptions!$B$33))</f>
        <v>4.6190249999999997</v>
      </c>
      <c r="J110" s="105">
        <f>IF(J$34=0,-$B110,IF(J$34&gt;Assumptions!$B$20,0,($D110*$E110*J$35)-J$36-MAX(0,($D110*$E110*J$35)-J$36-$B110/Assumptions!$B$31)*Assumptions!$B$33))</f>
        <v>4.661085374999999</v>
      </c>
      <c r="K110" s="105">
        <f>IF(K$34=0,-$B110,IF(K$34&gt;Assumptions!$B$20,0,($D110*$E110*K$35)-K$36-MAX(0,($D110*$E110*K$35)-K$36-$B110/Assumptions!$B$31)*Assumptions!$B$33))</f>
        <v>4.7033986556249978</v>
      </c>
      <c r="L110" s="105">
        <f>IF(L$34=0,-$B110,IF(L$34&gt;Assumptions!$B$20,0,($D110*$E110*L$35)-L$36-MAX(0,($D110*$E110*L$35)-L$36-$B110/Assumptions!$B$31)*Assumptions!$B$33))</f>
        <v>4.7459572954593732</v>
      </c>
      <c r="M110" s="105">
        <f>IF(M$34=0,-$B110,IF(M$34&gt;Assumptions!$B$20,0,($D110*$E110*M$35)-M$36-MAX(0,($D110*$E110*M$35)-M$36-$B110/Assumptions!$B$31)*Assumptions!$B$33))</f>
        <v>4.7887532946912623</v>
      </c>
      <c r="N110" s="105">
        <f>IF(N$34=0,-$B110,IF(N$34&gt;Assumptions!$B$20,0,($D110*$E110*N$35)-N$36-MAX(0,($D110*$E110*N$35)-N$36-$B110/Assumptions!$B$31)*Assumptions!$B$33))</f>
        <v>4.831778183105631</v>
      </c>
      <c r="O110" s="105">
        <f>IF(O$34=0,-$B110,IF(O$34&gt;Assumptions!$B$20,0,($D110*$E110*O$35)-O$36-MAX(0,($D110*$E110*O$35)-O$36-$B110/Assumptions!$B$31)*Assumptions!$B$33))</f>
        <v>4.8750230025160342</v>
      </c>
      <c r="P110" s="105">
        <f>IF(P$34=0,-$B110,IF(P$34&gt;Assumptions!$B$20,0,($D110*$E110*P$35)-P$36-MAX(0,($D110*$E110*P$35)-P$36-$B110/Assumptions!$B$31)*Assumptions!$B$33))</f>
        <v>4.9184782886175089</v>
      </c>
      <c r="Q110" s="105">
        <f>IF(Q$34=0,-$B110,IF(Q$34&gt;Assumptions!$B$20,0,($D110*$E110*Q$35)-Q$36-MAX(0,($D110*$E110*Q$35)-Q$36-$B110/Assumptions!$B$31)*Assumptions!$B$33))</f>
        <v>4.9621340522424182</v>
      </c>
      <c r="R110" s="105">
        <f>IF(R$34=0,-$B110,IF(R$34&gt;Assumptions!$B$20,0,($D110*$E110*R$35)-R$36-MAX(0,($D110*$E110*R$35)-R$36-$B110/Assumptions!$B$31)*Assumptions!$B$33))</f>
        <v>5.00597976000057</v>
      </c>
      <c r="S110" s="105">
        <f>IF(S$34=0,-$B110,IF(S$34&gt;Assumptions!$B$20,0,($D110*$E110*S$35)-S$36-MAX(0,($D110*$E110*S$35)-S$36-$B110/Assumptions!$B$31)*Assumptions!$B$33))</f>
        <v>5.0500043142843287</v>
      </c>
      <c r="T110" s="105">
        <f>IF(T$34=0,-$B110,IF(T$34&gt;Assumptions!$B$20,0,($D110*$E110*T$35)-T$36-MAX(0,($D110*$E110*T$35)-T$36-$B110/Assumptions!$B$31)*Assumptions!$B$33))</f>
        <v>5.0941960326188571</v>
      </c>
      <c r="U110" s="105">
        <f>IF(U$34=0,-$B110,IF(U$34&gt;Assumptions!$B$20,0,($D110*$E110*U$35)-U$36-MAX(0,($D110*$E110*U$35)-U$36-$B110/Assumptions!$B$31)*Assumptions!$B$33))</f>
        <v>5.1385426263370118</v>
      </c>
      <c r="V110" s="105">
        <f>IF(V$34=0,-$B110,IF(V$34&gt;Assumptions!$B$20,0,($D110*$E110*V$35)-V$36-MAX(0,($D110*$E110*V$35)-V$36-$B110/Assumptions!$B$31)*Assumptions!$B$33))</f>
        <v>5.1830311785578047</v>
      </c>
      <c r="W110" s="105">
        <f>IF(W$34=0,-$B110,IF(W$34&gt;Assumptions!$B$20,0,($D110*$E110*W$35)-W$36-MAX(0,($D110*$E110*W$35)-W$36-$B110/Assumptions!$B$31)*Assumptions!$B$33))</f>
        <v>5.2276481214466797</v>
      </c>
      <c r="X110" s="105">
        <f>IF(X$34=0,-$B110,IF(X$34&gt;Assumptions!$B$20,0,($D110*$E110*X$35)-X$36-MAX(0,($D110*$E110*X$35)-X$36-$B110/Assumptions!$B$31)*Assumptions!$B$33))</f>
        <v>5.2723792127352045</v>
      </c>
      <c r="Y110" s="105">
        <f>IF(Y$34=0,-$B110,IF(Y$34&gt;Assumptions!$B$20,0,($D110*$E110*Y$35)-Y$36-MAX(0,($D110*$E110*Y$35)-Y$36-$B110/Assumptions!$B$31)*Assumptions!$B$33))</f>
        <v>5.3172095114770626</v>
      </c>
      <c r="Z110" s="105">
        <f>IF(Z$34=0,-$B110,IF(Z$34&gt;Assumptions!$B$20,0,($D110*$E110*Z$35)-Z$36-MAX(0,($D110*$E110*Z$35)-Z$36-$B110/Assumptions!$B$31)*Assumptions!$B$33))</f>
        <v>5.3621233530165728</v>
      </c>
      <c r="AA110" s="105">
        <f>IF(AA$34=0,-$B110,IF(AA$34&gt;Assumptions!$B$20,0,($D110*$E110*AA$35)-AA$36-MAX(0,($D110*$E110*AA$35)-AA$36-$B110/Assumptions!$B$31)*Assumptions!$B$33))</f>
        <v>5.4071043231451981</v>
      </c>
      <c r="AB110" s="105">
        <f>IF(AB$34=0,-$B110,IF(AB$34&gt;Assumptions!$B$20,0,($D110*$E110*AB$35)-AB$36-MAX(0,($D110*$E110*AB$35)-AB$36-$B110/Assumptions!$B$31)*Assumptions!$B$33))</f>
        <v>5.4521352314207512</v>
      </c>
    </row>
    <row r="111" spans="1:28" outlineLevel="1" x14ac:dyDescent="0.3">
      <c r="A111" s="100">
        <f t="shared" si="9"/>
        <v>20</v>
      </c>
      <c r="B111" s="102" cm="1">
        <f t="array" ref="B111">INDEX($M$11:$S$11,MOD(ROW()-92,7)+1)</f>
        <v>70</v>
      </c>
      <c r="C111" s="101" cm="1">
        <f t="array" ref="C111">INDEX($L$12:$L$18,ROUNDUP((ROW()-91)/7,0))</f>
        <v>0.19500000000000001</v>
      </c>
      <c r="D111" s="102">
        <f>Assumptions!$B$10*$C111</f>
        <v>85.41</v>
      </c>
      <c r="E111" s="103">
        <f>Assumptions!$B$23</f>
        <v>7.4999999999999997E-2</v>
      </c>
      <c r="F111" s="101">
        <f t="shared" si="10"/>
        <v>3.7827732393775015E-2</v>
      </c>
      <c r="H111" s="105">
        <f>IF(H$34=0,-$B111,IF(H$34&gt;Assumptions!$B$20,0,($D111*$E111*H$35)-H$36-MAX(0,($D111*$E111*H$35)-H$36-$B111/Assumptions!$B$31)*Assumptions!$B$33))</f>
        <v>-70</v>
      </c>
      <c r="I111" s="105">
        <f>IF(I$34=0,-$B111,IF(I$34&gt;Assumptions!$B$20,0,($D111*$E111*I$35)-I$36-MAX(0,($D111*$E111*I$35)-I$36-$B111/Assumptions!$B$31)*Assumptions!$B$33))</f>
        <v>4.6940249999999999</v>
      </c>
      <c r="J111" s="105">
        <f>IF(J$34=0,-$B111,IF(J$34&gt;Assumptions!$B$20,0,($D111*$E111*J$35)-J$36-MAX(0,($D111*$E111*J$35)-J$36-$B111/Assumptions!$B$31)*Assumptions!$B$33))</f>
        <v>4.7360853749999992</v>
      </c>
      <c r="K111" s="105">
        <f>IF(K$34=0,-$B111,IF(K$34&gt;Assumptions!$B$20,0,($D111*$E111*K$35)-K$36-MAX(0,($D111*$E111*K$35)-K$36-$B111/Assumptions!$B$31)*Assumptions!$B$33))</f>
        <v>4.778398655624998</v>
      </c>
      <c r="L111" s="105">
        <f>IF(L$34=0,-$B111,IF(L$34&gt;Assumptions!$B$20,0,($D111*$E111*L$35)-L$36-MAX(0,($D111*$E111*L$35)-L$36-$B111/Assumptions!$B$31)*Assumptions!$B$33))</f>
        <v>4.8209572954593725</v>
      </c>
      <c r="M111" s="105">
        <f>IF(M$34=0,-$B111,IF(M$34&gt;Assumptions!$B$20,0,($D111*$E111*M$35)-M$36-MAX(0,($D111*$E111*M$35)-M$36-$B111/Assumptions!$B$31)*Assumptions!$B$33))</f>
        <v>4.8637532946912625</v>
      </c>
      <c r="N111" s="105">
        <f>IF(N$34=0,-$B111,IF(N$34&gt;Assumptions!$B$20,0,($D111*$E111*N$35)-N$36-MAX(0,($D111*$E111*N$35)-N$36-$B111/Assumptions!$B$31)*Assumptions!$B$33))</f>
        <v>4.9067781831056312</v>
      </c>
      <c r="O111" s="105">
        <f>IF(O$34=0,-$B111,IF(O$34&gt;Assumptions!$B$20,0,($D111*$E111*O$35)-O$36-MAX(0,($D111*$E111*O$35)-O$36-$B111/Assumptions!$B$31)*Assumptions!$B$33))</f>
        <v>4.9500230025160343</v>
      </c>
      <c r="P111" s="105">
        <f>IF(P$34=0,-$B111,IF(P$34&gt;Assumptions!$B$20,0,($D111*$E111*P$35)-P$36-MAX(0,($D111*$E111*P$35)-P$36-$B111/Assumptions!$B$31)*Assumptions!$B$33))</f>
        <v>4.9934782886175091</v>
      </c>
      <c r="Q111" s="105">
        <f>IF(Q$34=0,-$B111,IF(Q$34&gt;Assumptions!$B$20,0,($D111*$E111*Q$35)-Q$36-MAX(0,($D111*$E111*Q$35)-Q$36-$B111/Assumptions!$B$31)*Assumptions!$B$33))</f>
        <v>5.0371340522424175</v>
      </c>
      <c r="R111" s="105">
        <f>IF(R$34=0,-$B111,IF(R$34&gt;Assumptions!$B$20,0,($D111*$E111*R$35)-R$36-MAX(0,($D111*$E111*R$35)-R$36-$B111/Assumptions!$B$31)*Assumptions!$B$33))</f>
        <v>5.0809797600005702</v>
      </c>
      <c r="S111" s="105">
        <f>IF(S$34=0,-$B111,IF(S$34&gt;Assumptions!$B$20,0,($D111*$E111*S$35)-S$36-MAX(0,($D111*$E111*S$35)-S$36-$B111/Assumptions!$B$31)*Assumptions!$B$33))</f>
        <v>5.1250043142843289</v>
      </c>
      <c r="T111" s="105">
        <f>IF(T$34=0,-$B111,IF(T$34&gt;Assumptions!$B$20,0,($D111*$E111*T$35)-T$36-MAX(0,($D111*$E111*T$35)-T$36-$B111/Assumptions!$B$31)*Assumptions!$B$33))</f>
        <v>5.1691960326188573</v>
      </c>
      <c r="U111" s="105">
        <f>IF(U$34=0,-$B111,IF(U$34&gt;Assumptions!$B$20,0,($D111*$E111*U$35)-U$36-MAX(0,($D111*$E111*U$35)-U$36-$B111/Assumptions!$B$31)*Assumptions!$B$33))</f>
        <v>5.2135426263370119</v>
      </c>
      <c r="V111" s="105">
        <f>IF(V$34=0,-$B111,IF(V$34&gt;Assumptions!$B$20,0,($D111*$E111*V$35)-V$36-MAX(0,($D111*$E111*V$35)-V$36-$B111/Assumptions!$B$31)*Assumptions!$B$33))</f>
        <v>5.258031178557804</v>
      </c>
      <c r="W111" s="105">
        <f>IF(W$34=0,-$B111,IF(W$34&gt;Assumptions!$B$20,0,($D111*$E111*W$35)-W$36-MAX(0,($D111*$E111*W$35)-W$36-$B111/Assumptions!$B$31)*Assumptions!$B$33))</f>
        <v>5.3026481214466799</v>
      </c>
      <c r="X111" s="105">
        <f>IF(X$34=0,-$B111,IF(X$34&gt;Assumptions!$B$20,0,($D111*$E111*X$35)-X$36-MAX(0,($D111*$E111*X$35)-X$36-$B111/Assumptions!$B$31)*Assumptions!$B$33))</f>
        <v>5.3473792127352047</v>
      </c>
      <c r="Y111" s="105">
        <f>IF(Y$34=0,-$B111,IF(Y$34&gt;Assumptions!$B$20,0,($D111*$E111*Y$35)-Y$36-MAX(0,($D111*$E111*Y$35)-Y$36-$B111/Assumptions!$B$31)*Assumptions!$B$33))</f>
        <v>5.3922095114770627</v>
      </c>
      <c r="Z111" s="105">
        <f>IF(Z$34=0,-$B111,IF(Z$34&gt;Assumptions!$B$20,0,($D111*$E111*Z$35)-Z$36-MAX(0,($D111*$E111*Z$35)-Z$36-$B111/Assumptions!$B$31)*Assumptions!$B$33))</f>
        <v>5.437123353016573</v>
      </c>
      <c r="AA111" s="105">
        <f>IF(AA$34=0,-$B111,IF(AA$34&gt;Assumptions!$B$20,0,($D111*$E111*AA$35)-AA$36-MAX(0,($D111*$E111*AA$35)-AA$36-$B111/Assumptions!$B$31)*Assumptions!$B$33))</f>
        <v>5.4821043231451974</v>
      </c>
      <c r="AB111" s="105">
        <f>IF(AB$34=0,-$B111,IF(AB$34&gt;Assumptions!$B$20,0,($D111*$E111*AB$35)-AB$36-MAX(0,($D111*$E111*AB$35)-AB$36-$B111/Assumptions!$B$31)*Assumptions!$B$33))</f>
        <v>5.5271352314207514</v>
      </c>
    </row>
    <row r="112" spans="1:28" outlineLevel="1" x14ac:dyDescent="0.3">
      <c r="A112" s="100">
        <f t="shared" si="9"/>
        <v>21</v>
      </c>
      <c r="B112" s="102" cm="1">
        <f t="array" ref="B112">INDEX($M$11:$S$11,MOD(ROW()-92,7)+1)</f>
        <v>75</v>
      </c>
      <c r="C112" s="101" cm="1">
        <f t="array" ref="C112">INDEX($L$12:$L$18,ROUNDUP((ROW()-91)/7,0))</f>
        <v>0.19500000000000001</v>
      </c>
      <c r="D112" s="102">
        <f>Assumptions!$B$10*$C112</f>
        <v>85.41</v>
      </c>
      <c r="E112" s="103">
        <f>Assumptions!$B$23</f>
        <v>7.4999999999999997E-2</v>
      </c>
      <c r="F112" s="101">
        <f t="shared" si="10"/>
        <v>3.2006142076516308E-2</v>
      </c>
      <c r="H112" s="105">
        <f>IF(H$34=0,-$B112,IF(H$34&gt;Assumptions!$B$20,0,($D112*$E112*H$35)-H$36-MAX(0,($D112*$E112*H$35)-H$36-$B112/Assumptions!$B$31)*Assumptions!$B$33))</f>
        <v>-75</v>
      </c>
      <c r="I112" s="105">
        <f>IF(I$34=0,-$B112,IF(I$34&gt;Assumptions!$B$20,0,($D112*$E112*I$35)-I$36-MAX(0,($D112*$E112*I$35)-I$36-$B112/Assumptions!$B$31)*Assumptions!$B$33))</f>
        <v>4.7690249999999992</v>
      </c>
      <c r="J112" s="105">
        <f>IF(J$34=0,-$B112,IF(J$34&gt;Assumptions!$B$20,0,($D112*$E112*J$35)-J$36-MAX(0,($D112*$E112*J$35)-J$36-$B112/Assumptions!$B$31)*Assumptions!$B$33))</f>
        <v>4.8110853749999993</v>
      </c>
      <c r="K112" s="105">
        <f>IF(K$34=0,-$B112,IF(K$34&gt;Assumptions!$B$20,0,($D112*$E112*K$35)-K$36-MAX(0,($D112*$E112*K$35)-K$36-$B112/Assumptions!$B$31)*Assumptions!$B$33))</f>
        <v>4.8533986556249982</v>
      </c>
      <c r="L112" s="105">
        <f>IF(L$34=0,-$B112,IF(L$34&gt;Assumptions!$B$20,0,($D112*$E112*L$35)-L$36-MAX(0,($D112*$E112*L$35)-L$36-$B112/Assumptions!$B$31)*Assumptions!$B$33))</f>
        <v>4.8959572954593726</v>
      </c>
      <c r="M112" s="105">
        <f>IF(M$34=0,-$B112,IF(M$34&gt;Assumptions!$B$20,0,($D112*$E112*M$35)-M$36-MAX(0,($D112*$E112*M$35)-M$36-$B112/Assumptions!$B$31)*Assumptions!$B$33))</f>
        <v>4.9387532946912627</v>
      </c>
      <c r="N112" s="105">
        <f>IF(N$34=0,-$B112,IF(N$34&gt;Assumptions!$B$20,0,($D112*$E112*N$35)-N$36-MAX(0,($D112*$E112*N$35)-N$36-$B112/Assumptions!$B$31)*Assumptions!$B$33))</f>
        <v>4.9817781831056305</v>
      </c>
      <c r="O112" s="105">
        <f>IF(O$34=0,-$B112,IF(O$34&gt;Assumptions!$B$20,0,($D112*$E112*O$35)-O$36-MAX(0,($D112*$E112*O$35)-O$36-$B112/Assumptions!$B$31)*Assumptions!$B$33))</f>
        <v>5.0250230025160345</v>
      </c>
      <c r="P112" s="105">
        <f>IF(P$34=0,-$B112,IF(P$34&gt;Assumptions!$B$20,0,($D112*$E112*P$35)-P$36-MAX(0,($D112*$E112*P$35)-P$36-$B112/Assumptions!$B$31)*Assumptions!$B$33))</f>
        <v>5.0684782886175093</v>
      </c>
      <c r="Q112" s="105">
        <f>IF(Q$34=0,-$B112,IF(Q$34&gt;Assumptions!$B$20,0,($D112*$E112*Q$35)-Q$36-MAX(0,($D112*$E112*Q$35)-Q$36-$B112/Assumptions!$B$31)*Assumptions!$B$33))</f>
        <v>5.1121340522424177</v>
      </c>
      <c r="R112" s="105">
        <f>IF(R$34=0,-$B112,IF(R$34&gt;Assumptions!$B$20,0,($D112*$E112*R$35)-R$36-MAX(0,($D112*$E112*R$35)-R$36-$B112/Assumptions!$B$31)*Assumptions!$B$33))</f>
        <v>5.1559797600005695</v>
      </c>
      <c r="S112" s="105">
        <f>IF(S$34=0,-$B112,IF(S$34&gt;Assumptions!$B$20,0,($D112*$E112*S$35)-S$36-MAX(0,($D112*$E112*S$35)-S$36-$B112/Assumptions!$B$31)*Assumptions!$B$33))</f>
        <v>5.2000043142843291</v>
      </c>
      <c r="T112" s="105">
        <f>IF(T$34=0,-$B112,IF(T$34&gt;Assumptions!$B$20,0,($D112*$E112*T$35)-T$36-MAX(0,($D112*$E112*T$35)-T$36-$B112/Assumptions!$B$31)*Assumptions!$B$33))</f>
        <v>5.2441960326188566</v>
      </c>
      <c r="U112" s="105">
        <f>IF(U$34=0,-$B112,IF(U$34&gt;Assumptions!$B$20,0,($D112*$E112*U$35)-U$36-MAX(0,($D112*$E112*U$35)-U$36-$B112/Assumptions!$B$31)*Assumptions!$B$33))</f>
        <v>5.2885426263370121</v>
      </c>
      <c r="V112" s="105">
        <f>IF(V$34=0,-$B112,IF(V$34&gt;Assumptions!$B$20,0,($D112*$E112*V$35)-V$36-MAX(0,($D112*$E112*V$35)-V$36-$B112/Assumptions!$B$31)*Assumptions!$B$33))</f>
        <v>5.3330311785578042</v>
      </c>
      <c r="W112" s="105">
        <f>IF(W$34=0,-$B112,IF(W$34&gt;Assumptions!$B$20,0,($D112*$E112*W$35)-W$36-MAX(0,($D112*$E112*W$35)-W$36-$B112/Assumptions!$B$31)*Assumptions!$B$33))</f>
        <v>5.37764812144668</v>
      </c>
      <c r="X112" s="105">
        <f>IF(X$34=0,-$B112,IF(X$34&gt;Assumptions!$B$20,0,($D112*$E112*X$35)-X$36-MAX(0,($D112*$E112*X$35)-X$36-$B112/Assumptions!$B$31)*Assumptions!$B$33))</f>
        <v>5.4223792127352048</v>
      </c>
      <c r="Y112" s="105">
        <f>IF(Y$34=0,-$B112,IF(Y$34&gt;Assumptions!$B$20,0,($D112*$E112*Y$35)-Y$36-MAX(0,($D112*$E112*Y$35)-Y$36-$B112/Assumptions!$B$31)*Assumptions!$B$33))</f>
        <v>5.4672095114770629</v>
      </c>
      <c r="Z112" s="105">
        <f>IF(Z$34=0,-$B112,IF(Z$34&gt;Assumptions!$B$20,0,($D112*$E112*Z$35)-Z$36-MAX(0,($D112*$E112*Z$35)-Z$36-$B112/Assumptions!$B$31)*Assumptions!$B$33))</f>
        <v>5.5121233530165732</v>
      </c>
      <c r="AA112" s="105">
        <f>IF(AA$34=0,-$B112,IF(AA$34&gt;Assumptions!$B$20,0,($D112*$E112*AA$35)-AA$36-MAX(0,($D112*$E112*AA$35)-AA$36-$B112/Assumptions!$B$31)*Assumptions!$B$33))</f>
        <v>5.5571043231451975</v>
      </c>
      <c r="AB112" s="105">
        <f>IF(AB$34=0,-$B112,IF(AB$34&gt;Assumptions!$B$20,0,($D112*$E112*AB$35)-AB$36-MAX(0,($D112*$E112*AB$35)-AB$36-$B112/Assumptions!$B$31)*Assumptions!$B$33))</f>
        <v>5.6021352314207515</v>
      </c>
    </row>
    <row r="113" spans="1:28" outlineLevel="1" x14ac:dyDescent="0.3">
      <c r="A113" s="100">
        <f t="shared" si="9"/>
        <v>22</v>
      </c>
      <c r="B113" s="102" cm="1">
        <f t="array" ref="B113">INDEX($M$11:$S$11,MOD(ROW()-92,7)+1)</f>
        <v>45</v>
      </c>
      <c r="C113" s="101" cm="1">
        <f t="array" ref="C113">INDEX($L$12:$L$18,ROUNDUP((ROW()-91)/7,0))</f>
        <v>0.21000000000000002</v>
      </c>
      <c r="D113" s="102">
        <f>Assumptions!$B$10*$C113</f>
        <v>91.98</v>
      </c>
      <c r="E113" s="103">
        <f>Assumptions!$B$23</f>
        <v>7.4999999999999997E-2</v>
      </c>
      <c r="F113" s="101">
        <f t="shared" si="10"/>
        <v>9.1758396338171178E-2</v>
      </c>
      <c r="H113" s="105">
        <f>IF(H$34=0,-$B113,IF(H$34&gt;Assumptions!$B$20,0,($D113*$E113*H$35)-H$36-MAX(0,($D113*$E113*H$35)-H$36-$B113/Assumptions!$B$31)*Assumptions!$B$33))</f>
        <v>-45</v>
      </c>
      <c r="I113" s="105">
        <f>IF(I$34=0,-$B113,IF(I$34&gt;Assumptions!$B$20,0,($D113*$E113*I$35)-I$36-MAX(0,($D113*$E113*I$35)-I$36-$B113/Assumptions!$B$31)*Assumptions!$B$33))</f>
        <v>4.6639499999999998</v>
      </c>
      <c r="J113" s="105">
        <f>IF(J$34=0,-$B113,IF(J$34&gt;Assumptions!$B$20,0,($D113*$E113*J$35)-J$36-MAX(0,($D113*$E113*J$35)-J$36-$B113/Assumptions!$B$31)*Assumptions!$B$33))</f>
        <v>4.7111842500000005</v>
      </c>
      <c r="K113" s="105">
        <f>IF(K$34=0,-$B113,IF(K$34&gt;Assumptions!$B$20,0,($D113*$E113*K$35)-K$36-MAX(0,($D113*$E113*K$35)-K$36-$B113/Assumptions!$B$31)*Assumptions!$B$33))</f>
        <v>4.7587490137499993</v>
      </c>
      <c r="L113" s="105">
        <f>IF(L$34=0,-$B113,IF(L$34&gt;Assumptions!$B$20,0,($D113*$E113*L$35)-L$36-MAX(0,($D113*$E113*L$35)-L$36-$B113/Assumptions!$B$31)*Assumptions!$B$33))</f>
        <v>4.8066379089562483</v>
      </c>
      <c r="M113" s="105">
        <f>IF(M$34=0,-$B113,IF(M$34&gt;Assumptions!$B$20,0,($D113*$E113*M$35)-M$36-MAX(0,($D113*$E113*M$35)-M$36-$B113/Assumptions!$B$31)*Assumptions!$B$33))</f>
        <v>4.8548441173905914</v>
      </c>
      <c r="N113" s="105">
        <f>IF(N$34=0,-$B113,IF(N$34&gt;Assumptions!$B$20,0,($D113*$E113*N$35)-N$36-MAX(0,($D113*$E113*N$35)-N$36-$B113/Assumptions!$B$31)*Assumptions!$B$33))</f>
        <v>4.9033603681454494</v>
      </c>
      <c r="O113" s="105">
        <f>IF(O$34=0,-$B113,IF(O$34&gt;Assumptions!$B$20,0,($D113*$E113*O$35)-O$36-MAX(0,($D113*$E113*O$35)-O$36-$B113/Assumptions!$B$31)*Assumptions!$B$33))</f>
        <v>4.9521789203314501</v>
      </c>
      <c r="P113" s="105">
        <f>IF(P$34=0,-$B113,IF(P$34&gt;Assumptions!$B$20,0,($D113*$E113*P$35)-P$36-MAX(0,($D113*$E113*P$35)-P$36-$B113/Assumptions!$B$31)*Assumptions!$B$33))</f>
        <v>5.0012915452001554</v>
      </c>
      <c r="Q113" s="105">
        <f>IF(Q$34=0,-$B113,IF(Q$34&gt;Assumptions!$B$20,0,($D113*$E113*Q$35)-Q$36-MAX(0,($D113*$E113*Q$35)-Q$36-$B113/Assumptions!$B$31)*Assumptions!$B$33))</f>
        <v>5.0506895076738045</v>
      </c>
      <c r="R113" s="105">
        <f>IF(R$34=0,-$B113,IF(R$34&gt;Assumptions!$B$20,0,($D113*$E113*R$35)-R$36-MAX(0,($D113*$E113*R$35)-R$36-$B113/Assumptions!$B$31)*Assumptions!$B$33))</f>
        <v>5.1003635472634272</v>
      </c>
      <c r="S113" s="105">
        <f>IF(S$34=0,-$B113,IF(S$34&gt;Assumptions!$B$20,0,($D113*$E113*S$35)-S$36-MAX(0,($D113*$E113*S$35)-S$36-$B113/Assumptions!$B$31)*Assumptions!$B$33))</f>
        <v>5.1503038583561294</v>
      </c>
      <c r="T113" s="105">
        <f>IF(T$34=0,-$B113,IF(T$34&gt;Assumptions!$B$20,0,($D113*$E113*T$35)-T$36-MAX(0,($D113*$E113*T$35)-T$36-$B113/Assumptions!$B$31)*Assumptions!$B$33))</f>
        <v>5.2005000698517341</v>
      </c>
      <c r="U113" s="105">
        <f>IF(U$34=0,-$B113,IF(U$34&gt;Assumptions!$B$20,0,($D113*$E113*U$35)-U$36-MAX(0,($D113*$E113*U$35)-U$36-$B113/Assumptions!$B$31)*Assumptions!$B$33))</f>
        <v>5.2509412241283808</v>
      </c>
      <c r="V113" s="105">
        <f>IF(V$34=0,-$B113,IF(V$34&gt;Assumptions!$B$20,0,($D113*$E113*V$35)-V$36-MAX(0,($D113*$E113*V$35)-V$36-$B113/Assumptions!$B$31)*Assumptions!$B$33))</f>
        <v>5.3016157553160452</v>
      </c>
      <c r="W113" s="105">
        <f>IF(W$34=0,-$B113,IF(W$34&gt;Assumptions!$B$20,0,($D113*$E113*W$35)-W$36-MAX(0,($D113*$E113*W$35)-W$36-$B113/Assumptions!$B$31)*Assumptions!$B$33))</f>
        <v>5.3525114668562939</v>
      </c>
      <c r="X113" s="105">
        <f>IF(X$34=0,-$B113,IF(X$34&gt;Assumptions!$B$20,0,($D113*$E113*X$35)-X$36-MAX(0,($D113*$E113*X$35)-X$36-$B113/Assumptions!$B$31)*Assumptions!$B$33))</f>
        <v>5.4036155083259638</v>
      </c>
      <c r="Y113" s="105">
        <f>IF(Y$34=0,-$B113,IF(Y$34&gt;Assumptions!$B$20,0,($D113*$E113*Y$35)-Y$36-MAX(0,($D113*$E113*Y$35)-Y$36-$B113/Assumptions!$B$31)*Assumptions!$B$33))</f>
        <v>5.4549143515016825</v>
      </c>
      <c r="Z113" s="105">
        <f>IF(Z$34=0,-$B113,IF(Z$34&gt;Assumptions!$B$20,0,($D113*$E113*Z$35)-Z$36-MAX(0,($D113*$E113*Z$35)-Z$36-$B113/Assumptions!$B$31)*Assumptions!$B$33))</f>
        <v>5.5063937656415627</v>
      </c>
      <c r="AA113" s="105">
        <f>IF(AA$34=0,-$B113,IF(AA$34&gt;Assumptions!$B$20,0,($D113*$E113*AA$35)-AA$36-MAX(0,($D113*$E113*AA$35)-AA$36-$B113/Assumptions!$B$31)*Assumptions!$B$33))</f>
        <v>5.5580387919595617</v>
      </c>
      <c r="AB113" s="105">
        <f>IF(AB$34=0,-$B113,IF(AB$34&gt;Assumptions!$B$20,0,($D113*$E113*AB$35)-AB$36-MAX(0,($D113*$E113*AB$35)-AB$36-$B113/Assumptions!$B$31)*Assumptions!$B$33))</f>
        <v>5.6098337172673309</v>
      </c>
    </row>
    <row r="114" spans="1:28" outlineLevel="1" x14ac:dyDescent="0.3">
      <c r="A114" s="100">
        <f t="shared" si="9"/>
        <v>23</v>
      </c>
      <c r="B114" s="102" cm="1">
        <f t="array" ref="B114">INDEX($M$11:$S$11,MOD(ROW()-92,7)+1)</f>
        <v>50</v>
      </c>
      <c r="C114" s="101" cm="1">
        <f t="array" ref="C114">INDEX($L$12:$L$18,ROUNDUP((ROW()-91)/7,0))</f>
        <v>0.21000000000000002</v>
      </c>
      <c r="D114" s="102">
        <f>Assumptions!$B$10*$C114</f>
        <v>91.98</v>
      </c>
      <c r="E114" s="103">
        <f>Assumptions!$B$23</f>
        <v>7.4999999999999997E-2</v>
      </c>
      <c r="F114" s="101">
        <f t="shared" si="10"/>
        <v>7.9733801002215055E-2</v>
      </c>
      <c r="H114" s="105">
        <f>IF(H$34=0,-$B114,IF(H$34&gt;Assumptions!$B$20,0,($D114*$E114*H$35)-H$36-MAX(0,($D114*$E114*H$35)-H$36-$B114/Assumptions!$B$31)*Assumptions!$B$33))</f>
        <v>-50</v>
      </c>
      <c r="I114" s="105">
        <f>IF(I$34=0,-$B114,IF(I$34&gt;Assumptions!$B$20,0,($D114*$E114*I$35)-I$36-MAX(0,($D114*$E114*I$35)-I$36-$B114/Assumptions!$B$31)*Assumptions!$B$33))</f>
        <v>4.73895</v>
      </c>
      <c r="J114" s="105">
        <f>IF(J$34=0,-$B114,IF(J$34&gt;Assumptions!$B$20,0,($D114*$E114*J$35)-J$36-MAX(0,($D114*$E114*J$35)-J$36-$B114/Assumptions!$B$31)*Assumptions!$B$33))</f>
        <v>4.7861842499999998</v>
      </c>
      <c r="K114" s="105">
        <f>IF(K$34=0,-$B114,IF(K$34&gt;Assumptions!$B$20,0,($D114*$E114*K$35)-K$36-MAX(0,($D114*$E114*K$35)-K$36-$B114/Assumptions!$B$31)*Assumptions!$B$33))</f>
        <v>4.8337490137499994</v>
      </c>
      <c r="L114" s="105">
        <f>IF(L$34=0,-$B114,IF(L$34&gt;Assumptions!$B$20,0,($D114*$E114*L$35)-L$36-MAX(0,($D114*$E114*L$35)-L$36-$B114/Assumptions!$B$31)*Assumptions!$B$33))</f>
        <v>4.8816379089562485</v>
      </c>
      <c r="M114" s="105">
        <f>IF(M$34=0,-$B114,IF(M$34&gt;Assumptions!$B$20,0,($D114*$E114*M$35)-M$36-MAX(0,($D114*$E114*M$35)-M$36-$B114/Assumptions!$B$31)*Assumptions!$B$33))</f>
        <v>4.9298441173905907</v>
      </c>
      <c r="N114" s="105">
        <f>IF(N$34=0,-$B114,IF(N$34&gt;Assumptions!$B$20,0,($D114*$E114*N$35)-N$36-MAX(0,($D114*$E114*N$35)-N$36-$B114/Assumptions!$B$31)*Assumptions!$B$33))</f>
        <v>4.9783603681454496</v>
      </c>
      <c r="O114" s="105">
        <f>IF(O$34=0,-$B114,IF(O$34&gt;Assumptions!$B$20,0,($D114*$E114*O$35)-O$36-MAX(0,($D114*$E114*O$35)-O$36-$B114/Assumptions!$B$31)*Assumptions!$B$33))</f>
        <v>5.0271789203314494</v>
      </c>
      <c r="P114" s="105">
        <f>IF(P$34=0,-$B114,IF(P$34&gt;Assumptions!$B$20,0,($D114*$E114*P$35)-P$36-MAX(0,($D114*$E114*P$35)-P$36-$B114/Assumptions!$B$31)*Assumptions!$B$33))</f>
        <v>5.0762915452001556</v>
      </c>
      <c r="Q114" s="105">
        <f>IF(Q$34=0,-$B114,IF(Q$34&gt;Assumptions!$B$20,0,($D114*$E114*Q$35)-Q$36-MAX(0,($D114*$E114*Q$35)-Q$36-$B114/Assumptions!$B$31)*Assumptions!$B$33))</f>
        <v>5.1256895076738047</v>
      </c>
      <c r="R114" s="105">
        <f>IF(R$34=0,-$B114,IF(R$34&gt;Assumptions!$B$20,0,($D114*$E114*R$35)-R$36-MAX(0,($D114*$E114*R$35)-R$36-$B114/Assumptions!$B$31)*Assumptions!$B$33))</f>
        <v>5.1753635472634265</v>
      </c>
      <c r="S114" s="105">
        <f>IF(S$34=0,-$B114,IF(S$34&gt;Assumptions!$B$20,0,($D114*$E114*S$35)-S$36-MAX(0,($D114*$E114*S$35)-S$36-$B114/Assumptions!$B$31)*Assumptions!$B$33))</f>
        <v>5.2253038583561295</v>
      </c>
      <c r="T114" s="105">
        <f>IF(T$34=0,-$B114,IF(T$34&gt;Assumptions!$B$20,0,($D114*$E114*T$35)-T$36-MAX(0,($D114*$E114*T$35)-T$36-$B114/Assumptions!$B$31)*Assumptions!$B$33))</f>
        <v>5.2755000698517343</v>
      </c>
      <c r="U114" s="105">
        <f>IF(U$34=0,-$B114,IF(U$34&gt;Assumptions!$B$20,0,($D114*$E114*U$35)-U$36-MAX(0,($D114*$E114*U$35)-U$36-$B114/Assumptions!$B$31)*Assumptions!$B$33))</f>
        <v>5.325941224128381</v>
      </c>
      <c r="V114" s="105">
        <f>IF(V$34=0,-$B114,IF(V$34&gt;Assumptions!$B$20,0,($D114*$E114*V$35)-V$36-MAX(0,($D114*$E114*V$35)-V$36-$B114/Assumptions!$B$31)*Assumptions!$B$33))</f>
        <v>5.3766157553160454</v>
      </c>
      <c r="W114" s="105">
        <f>IF(W$34=0,-$B114,IF(W$34&gt;Assumptions!$B$20,0,($D114*$E114*W$35)-W$36-MAX(0,($D114*$E114*W$35)-W$36-$B114/Assumptions!$B$31)*Assumptions!$B$33))</f>
        <v>5.427511466856294</v>
      </c>
      <c r="X114" s="105">
        <f>IF(X$34=0,-$B114,IF(X$34&gt;Assumptions!$B$20,0,($D114*$E114*X$35)-X$36-MAX(0,($D114*$E114*X$35)-X$36-$B114/Assumptions!$B$31)*Assumptions!$B$33))</f>
        <v>5.478615508325964</v>
      </c>
      <c r="Y114" s="105">
        <f>IF(Y$34=0,-$B114,IF(Y$34&gt;Assumptions!$B$20,0,($D114*$E114*Y$35)-Y$36-MAX(0,($D114*$E114*Y$35)-Y$36-$B114/Assumptions!$B$31)*Assumptions!$B$33))</f>
        <v>5.5299143515016826</v>
      </c>
      <c r="Z114" s="105">
        <f>IF(Z$34=0,-$B114,IF(Z$34&gt;Assumptions!$B$20,0,($D114*$E114*Z$35)-Z$36-MAX(0,($D114*$E114*Z$35)-Z$36-$B114/Assumptions!$B$31)*Assumptions!$B$33))</f>
        <v>5.5813937656415629</v>
      </c>
      <c r="AA114" s="105">
        <f>IF(AA$34=0,-$B114,IF(AA$34&gt;Assumptions!$B$20,0,($D114*$E114*AA$35)-AA$36-MAX(0,($D114*$E114*AA$35)-AA$36-$B114/Assumptions!$B$31)*Assumptions!$B$33))</f>
        <v>5.6330387919595619</v>
      </c>
      <c r="AB114" s="105">
        <f>IF(AB$34=0,-$B114,IF(AB$34&gt;Assumptions!$B$20,0,($D114*$E114*AB$35)-AB$36-MAX(0,($D114*$E114*AB$35)-AB$36-$B114/Assumptions!$B$31)*Assumptions!$B$33))</f>
        <v>5.6848337172673311</v>
      </c>
    </row>
    <row r="115" spans="1:28" outlineLevel="1" x14ac:dyDescent="0.3">
      <c r="A115" s="100">
        <f t="shared" si="9"/>
        <v>24</v>
      </c>
      <c r="B115" s="102" cm="1">
        <f t="array" ref="B115">INDEX($M$11:$S$11,MOD(ROW()-92,7)+1)</f>
        <v>55</v>
      </c>
      <c r="C115" s="101" cm="1">
        <f t="array" ref="C115">INDEX($L$12:$L$18,ROUNDUP((ROW()-91)/7,0))</f>
        <v>0.21000000000000002</v>
      </c>
      <c r="D115" s="102">
        <f>Assumptions!$B$10*$C115</f>
        <v>91.98</v>
      </c>
      <c r="E115" s="103">
        <f>Assumptions!$B$23</f>
        <v>7.4999999999999997E-2</v>
      </c>
      <c r="F115" s="101">
        <f t="shared" si="10"/>
        <v>6.9506456149041052E-2</v>
      </c>
      <c r="H115" s="105">
        <f>IF(H$34=0,-$B115,IF(H$34&gt;Assumptions!$B$20,0,($D115*$E115*H$35)-H$36-MAX(0,($D115*$E115*H$35)-H$36-$B115/Assumptions!$B$31)*Assumptions!$B$33))</f>
        <v>-55</v>
      </c>
      <c r="I115" s="105">
        <f>IF(I$34=0,-$B115,IF(I$34&gt;Assumptions!$B$20,0,($D115*$E115*I$35)-I$36-MAX(0,($D115*$E115*I$35)-I$36-$B115/Assumptions!$B$31)*Assumptions!$B$33))</f>
        <v>4.8139500000000002</v>
      </c>
      <c r="J115" s="105">
        <f>IF(J$34=0,-$B115,IF(J$34&gt;Assumptions!$B$20,0,($D115*$E115*J$35)-J$36-MAX(0,($D115*$E115*J$35)-J$36-$B115/Assumptions!$B$31)*Assumptions!$B$33))</f>
        <v>4.86118425</v>
      </c>
      <c r="K115" s="105">
        <f>IF(K$34=0,-$B115,IF(K$34&gt;Assumptions!$B$20,0,($D115*$E115*K$35)-K$36-MAX(0,($D115*$E115*K$35)-K$36-$B115/Assumptions!$B$31)*Assumptions!$B$33))</f>
        <v>4.9087490137499987</v>
      </c>
      <c r="L115" s="105">
        <f>IF(L$34=0,-$B115,IF(L$34&gt;Assumptions!$B$20,0,($D115*$E115*L$35)-L$36-MAX(0,($D115*$E115*L$35)-L$36-$B115/Assumptions!$B$31)*Assumptions!$B$33))</f>
        <v>4.9566379089562487</v>
      </c>
      <c r="M115" s="105">
        <f>IF(M$34=0,-$B115,IF(M$34&gt;Assumptions!$B$20,0,($D115*$E115*M$35)-M$36-MAX(0,($D115*$E115*M$35)-M$36-$B115/Assumptions!$B$31)*Assumptions!$B$33))</f>
        <v>5.0048441173905909</v>
      </c>
      <c r="N115" s="105">
        <f>IF(N$34=0,-$B115,IF(N$34&gt;Assumptions!$B$20,0,($D115*$E115*N$35)-N$36-MAX(0,($D115*$E115*N$35)-N$36-$B115/Assumptions!$B$31)*Assumptions!$B$33))</f>
        <v>5.0533603681454498</v>
      </c>
      <c r="O115" s="105">
        <f>IF(O$34=0,-$B115,IF(O$34&gt;Assumptions!$B$20,0,($D115*$E115*O$35)-O$36-MAX(0,($D115*$E115*O$35)-O$36-$B115/Assumptions!$B$31)*Assumptions!$B$33))</f>
        <v>5.1021789203314496</v>
      </c>
      <c r="P115" s="105">
        <f>IF(P$34=0,-$B115,IF(P$34&gt;Assumptions!$B$20,0,($D115*$E115*P$35)-P$36-MAX(0,($D115*$E115*P$35)-P$36-$B115/Assumptions!$B$31)*Assumptions!$B$33))</f>
        <v>5.1512915452001558</v>
      </c>
      <c r="Q115" s="105">
        <f>IF(Q$34=0,-$B115,IF(Q$34&gt;Assumptions!$B$20,0,($D115*$E115*Q$35)-Q$36-MAX(0,($D115*$E115*Q$35)-Q$36-$B115/Assumptions!$B$31)*Assumptions!$B$33))</f>
        <v>5.200689507673804</v>
      </c>
      <c r="R115" s="105">
        <f>IF(R$34=0,-$B115,IF(R$34&gt;Assumptions!$B$20,0,($D115*$E115*R$35)-R$36-MAX(0,($D115*$E115*R$35)-R$36-$B115/Assumptions!$B$31)*Assumptions!$B$33))</f>
        <v>5.2503635472634267</v>
      </c>
      <c r="S115" s="105">
        <f>IF(S$34=0,-$B115,IF(S$34&gt;Assumptions!$B$20,0,($D115*$E115*S$35)-S$36-MAX(0,($D115*$E115*S$35)-S$36-$B115/Assumptions!$B$31)*Assumptions!$B$33))</f>
        <v>5.3003038583561288</v>
      </c>
      <c r="T115" s="105">
        <f>IF(T$34=0,-$B115,IF(T$34&gt;Assumptions!$B$20,0,($D115*$E115*T$35)-T$36-MAX(0,($D115*$E115*T$35)-T$36-$B115/Assumptions!$B$31)*Assumptions!$B$33))</f>
        <v>5.3505000698517344</v>
      </c>
      <c r="U115" s="105">
        <f>IF(U$34=0,-$B115,IF(U$34&gt;Assumptions!$B$20,0,($D115*$E115*U$35)-U$36-MAX(0,($D115*$E115*U$35)-U$36-$B115/Assumptions!$B$31)*Assumptions!$B$33))</f>
        <v>5.4009412241283812</v>
      </c>
      <c r="V115" s="105">
        <f>IF(V$34=0,-$B115,IF(V$34&gt;Assumptions!$B$20,0,($D115*$E115*V$35)-V$36-MAX(0,($D115*$E115*V$35)-V$36-$B115/Assumptions!$B$31)*Assumptions!$B$33))</f>
        <v>5.4516157553160447</v>
      </c>
      <c r="W115" s="105">
        <f>IF(W$34=0,-$B115,IF(W$34&gt;Assumptions!$B$20,0,($D115*$E115*W$35)-W$36-MAX(0,($D115*$E115*W$35)-W$36-$B115/Assumptions!$B$31)*Assumptions!$B$33))</f>
        <v>5.5025114668562942</v>
      </c>
      <c r="X115" s="105">
        <f>IF(X$34=0,-$B115,IF(X$34&gt;Assumptions!$B$20,0,($D115*$E115*X$35)-X$36-MAX(0,($D115*$E115*X$35)-X$36-$B115/Assumptions!$B$31)*Assumptions!$B$33))</f>
        <v>5.5536155083259633</v>
      </c>
      <c r="Y115" s="105">
        <f>IF(Y$34=0,-$B115,IF(Y$34&gt;Assumptions!$B$20,0,($D115*$E115*Y$35)-Y$36-MAX(0,($D115*$E115*Y$35)-Y$36-$B115/Assumptions!$B$31)*Assumptions!$B$33))</f>
        <v>5.6049143515016828</v>
      </c>
      <c r="Z115" s="105">
        <f>IF(Z$34=0,-$B115,IF(Z$34&gt;Assumptions!$B$20,0,($D115*$E115*Z$35)-Z$36-MAX(0,($D115*$E115*Z$35)-Z$36-$B115/Assumptions!$B$31)*Assumptions!$B$33))</f>
        <v>5.6563937656415622</v>
      </c>
      <c r="AA115" s="105">
        <f>IF(AA$34=0,-$B115,IF(AA$34&gt;Assumptions!$B$20,0,($D115*$E115*AA$35)-AA$36-MAX(0,($D115*$E115*AA$35)-AA$36-$B115/Assumptions!$B$31)*Assumptions!$B$33))</f>
        <v>5.7080387919595621</v>
      </c>
      <c r="AB115" s="105">
        <f>IF(AB$34=0,-$B115,IF(AB$34&gt;Assumptions!$B$20,0,($D115*$E115*AB$35)-AB$36-MAX(0,($D115*$E115*AB$35)-AB$36-$B115/Assumptions!$B$31)*Assumptions!$B$33))</f>
        <v>5.7598337172673304</v>
      </c>
    </row>
    <row r="116" spans="1:28" outlineLevel="1" x14ac:dyDescent="0.3">
      <c r="A116" s="100">
        <f t="shared" si="9"/>
        <v>25</v>
      </c>
      <c r="B116" s="102" cm="1">
        <f t="array" ref="B116">INDEX($M$11:$S$11,MOD(ROW()-92,7)+1)</f>
        <v>60</v>
      </c>
      <c r="C116" s="101" cm="1">
        <f t="array" ref="C116">INDEX($L$12:$L$18,ROUNDUP((ROW()-91)/7,0))</f>
        <v>0.21000000000000002</v>
      </c>
      <c r="D116" s="102">
        <f>Assumptions!$B$10*$C116</f>
        <v>91.98</v>
      </c>
      <c r="E116" s="103">
        <f>Assumptions!$B$23</f>
        <v>7.4999999999999997E-2</v>
      </c>
      <c r="F116" s="101">
        <f t="shared" si="10"/>
        <v>6.0665744754367479E-2</v>
      </c>
      <c r="H116" s="105">
        <f>IF(H$34=0,-$B116,IF(H$34&gt;Assumptions!$B$20,0,($D116*$E116*H$35)-H$36-MAX(0,($D116*$E116*H$35)-H$36-$B116/Assumptions!$B$31)*Assumptions!$B$33))</f>
        <v>-60</v>
      </c>
      <c r="I116" s="105">
        <f>IF(I$34=0,-$B116,IF(I$34&gt;Assumptions!$B$20,0,($D116*$E116*I$35)-I$36-MAX(0,($D116*$E116*I$35)-I$36-$B116/Assumptions!$B$31)*Assumptions!$B$33))</f>
        <v>4.8889500000000004</v>
      </c>
      <c r="J116" s="105">
        <f>IF(J$34=0,-$B116,IF(J$34&gt;Assumptions!$B$20,0,($D116*$E116*J$35)-J$36-MAX(0,($D116*$E116*J$35)-J$36-$B116/Assumptions!$B$31)*Assumptions!$B$33))</f>
        <v>4.9361842500000002</v>
      </c>
      <c r="K116" s="105">
        <f>IF(K$34=0,-$B116,IF(K$34&gt;Assumptions!$B$20,0,($D116*$E116*K$35)-K$36-MAX(0,($D116*$E116*K$35)-K$36-$B116/Assumptions!$B$31)*Assumptions!$B$33))</f>
        <v>4.9837490137499989</v>
      </c>
      <c r="L116" s="105">
        <f>IF(L$34=0,-$B116,IF(L$34&gt;Assumptions!$B$20,0,($D116*$E116*L$35)-L$36-MAX(0,($D116*$E116*L$35)-L$36-$B116/Assumptions!$B$31)*Assumptions!$B$33))</f>
        <v>5.031637908956248</v>
      </c>
      <c r="M116" s="105">
        <f>IF(M$34=0,-$B116,IF(M$34&gt;Assumptions!$B$20,0,($D116*$E116*M$35)-M$36-MAX(0,($D116*$E116*M$35)-M$36-$B116/Assumptions!$B$31)*Assumptions!$B$33))</f>
        <v>5.0798441173905911</v>
      </c>
      <c r="N116" s="105">
        <f>IF(N$34=0,-$B116,IF(N$34&gt;Assumptions!$B$20,0,($D116*$E116*N$35)-N$36-MAX(0,($D116*$E116*N$35)-N$36-$B116/Assumptions!$B$31)*Assumptions!$B$33))</f>
        <v>5.128360368145449</v>
      </c>
      <c r="O116" s="105">
        <f>IF(O$34=0,-$B116,IF(O$34&gt;Assumptions!$B$20,0,($D116*$E116*O$35)-O$36-MAX(0,($D116*$E116*O$35)-O$36-$B116/Assumptions!$B$31)*Assumptions!$B$33))</f>
        <v>5.1771789203314498</v>
      </c>
      <c r="P116" s="105">
        <f>IF(P$34=0,-$B116,IF(P$34&gt;Assumptions!$B$20,0,($D116*$E116*P$35)-P$36-MAX(0,($D116*$E116*P$35)-P$36-$B116/Assumptions!$B$31)*Assumptions!$B$33))</f>
        <v>5.2262915452001559</v>
      </c>
      <c r="Q116" s="105">
        <f>IF(Q$34=0,-$B116,IF(Q$34&gt;Assumptions!$B$20,0,($D116*$E116*Q$35)-Q$36-MAX(0,($D116*$E116*Q$35)-Q$36-$B116/Assumptions!$B$31)*Assumptions!$B$33))</f>
        <v>5.2756895076738042</v>
      </c>
      <c r="R116" s="105">
        <f>IF(R$34=0,-$B116,IF(R$34&gt;Assumptions!$B$20,0,($D116*$E116*R$35)-R$36-MAX(0,($D116*$E116*R$35)-R$36-$B116/Assumptions!$B$31)*Assumptions!$B$33))</f>
        <v>5.3253635472634269</v>
      </c>
      <c r="S116" s="105">
        <f>IF(S$34=0,-$B116,IF(S$34&gt;Assumptions!$B$20,0,($D116*$E116*S$35)-S$36-MAX(0,($D116*$E116*S$35)-S$36-$B116/Assumptions!$B$31)*Assumptions!$B$33))</f>
        <v>5.375303858356129</v>
      </c>
      <c r="T116" s="105">
        <f>IF(T$34=0,-$B116,IF(T$34&gt;Assumptions!$B$20,0,($D116*$E116*T$35)-T$36-MAX(0,($D116*$E116*T$35)-T$36-$B116/Assumptions!$B$31)*Assumptions!$B$33))</f>
        <v>5.4255000698517346</v>
      </c>
      <c r="U116" s="105">
        <f>IF(U$34=0,-$B116,IF(U$34&gt;Assumptions!$B$20,0,($D116*$E116*U$35)-U$36-MAX(0,($D116*$E116*U$35)-U$36-$B116/Assumptions!$B$31)*Assumptions!$B$33))</f>
        <v>5.4759412241283805</v>
      </c>
      <c r="V116" s="105">
        <f>IF(V$34=0,-$B116,IF(V$34&gt;Assumptions!$B$20,0,($D116*$E116*V$35)-V$36-MAX(0,($D116*$E116*V$35)-V$36-$B116/Assumptions!$B$31)*Assumptions!$B$33))</f>
        <v>5.5266157553160449</v>
      </c>
      <c r="W116" s="105">
        <f>IF(W$34=0,-$B116,IF(W$34&gt;Assumptions!$B$20,0,($D116*$E116*W$35)-W$36-MAX(0,($D116*$E116*W$35)-W$36-$B116/Assumptions!$B$31)*Assumptions!$B$33))</f>
        <v>5.5775114668562944</v>
      </c>
      <c r="X116" s="105">
        <f>IF(X$34=0,-$B116,IF(X$34&gt;Assumptions!$B$20,0,($D116*$E116*X$35)-X$36-MAX(0,($D116*$E116*X$35)-X$36-$B116/Assumptions!$B$31)*Assumptions!$B$33))</f>
        <v>5.6286155083259635</v>
      </c>
      <c r="Y116" s="105">
        <f>IF(Y$34=0,-$B116,IF(Y$34&gt;Assumptions!$B$20,0,($D116*$E116*Y$35)-Y$36-MAX(0,($D116*$E116*Y$35)-Y$36-$B116/Assumptions!$B$31)*Assumptions!$B$33))</f>
        <v>5.679914351501683</v>
      </c>
      <c r="Z116" s="105">
        <f>IF(Z$34=0,-$B116,IF(Z$34&gt;Assumptions!$B$20,0,($D116*$E116*Z$35)-Z$36-MAX(0,($D116*$E116*Z$35)-Z$36-$B116/Assumptions!$B$31)*Assumptions!$B$33))</f>
        <v>5.7313937656415623</v>
      </c>
      <c r="AA116" s="105">
        <f>IF(AA$34=0,-$B116,IF(AA$34&gt;Assumptions!$B$20,0,($D116*$E116*AA$35)-AA$36-MAX(0,($D116*$E116*AA$35)-AA$36-$B116/Assumptions!$B$31)*Assumptions!$B$33))</f>
        <v>5.7830387919595623</v>
      </c>
      <c r="AB116" s="105">
        <f>IF(AB$34=0,-$B116,IF(AB$34&gt;Assumptions!$B$20,0,($D116*$E116*AB$35)-AB$36-MAX(0,($D116*$E116*AB$35)-AB$36-$B116/Assumptions!$B$31)*Assumptions!$B$33))</f>
        <v>5.8348337172673306</v>
      </c>
    </row>
    <row r="117" spans="1:28" outlineLevel="1" x14ac:dyDescent="0.3">
      <c r="A117" s="100">
        <f t="shared" si="9"/>
        <v>26</v>
      </c>
      <c r="B117" s="102" cm="1">
        <f t="array" ref="B117">INDEX($M$11:$S$11,MOD(ROW()-92,7)+1)</f>
        <v>65</v>
      </c>
      <c r="C117" s="101" cm="1">
        <f t="array" ref="C117">INDEX($L$12:$L$18,ROUNDUP((ROW()-91)/7,0))</f>
        <v>0.21000000000000002</v>
      </c>
      <c r="D117" s="102">
        <f>Assumptions!$B$10*$C117</f>
        <v>91.98</v>
      </c>
      <c r="E117" s="103">
        <f>Assumptions!$B$23</f>
        <v>7.4999999999999997E-2</v>
      </c>
      <c r="F117" s="101">
        <f t="shared" si="10"/>
        <v>5.2922032027391097E-2</v>
      </c>
      <c r="H117" s="105">
        <f>IF(H$34=0,-$B117,IF(H$34&gt;Assumptions!$B$20,0,($D117*$E117*H$35)-H$36-MAX(0,($D117*$E117*H$35)-H$36-$B117/Assumptions!$B$31)*Assumptions!$B$33))</f>
        <v>-65</v>
      </c>
      <c r="I117" s="105">
        <f>IF(I$34=0,-$B117,IF(I$34&gt;Assumptions!$B$20,0,($D117*$E117*I$35)-I$36-MAX(0,($D117*$E117*I$35)-I$36-$B117/Assumptions!$B$31)*Assumptions!$B$33))</f>
        <v>4.9639500000000005</v>
      </c>
      <c r="J117" s="105">
        <f>IF(J$34=0,-$B117,IF(J$34&gt;Assumptions!$B$20,0,($D117*$E117*J$35)-J$36-MAX(0,($D117*$E117*J$35)-J$36-$B117/Assumptions!$B$31)*Assumptions!$B$33))</f>
        <v>5.0111842500000003</v>
      </c>
      <c r="K117" s="105">
        <f>IF(K$34=0,-$B117,IF(K$34&gt;Assumptions!$B$20,0,($D117*$E117*K$35)-K$36-MAX(0,($D117*$E117*K$35)-K$36-$B117/Assumptions!$B$31)*Assumptions!$B$33))</f>
        <v>5.0587490137499991</v>
      </c>
      <c r="L117" s="105">
        <f>IF(L$34=0,-$B117,IF(L$34&gt;Assumptions!$B$20,0,($D117*$E117*L$35)-L$36-MAX(0,($D117*$E117*L$35)-L$36-$B117/Assumptions!$B$31)*Assumptions!$B$33))</f>
        <v>5.1066379089562481</v>
      </c>
      <c r="M117" s="105">
        <f>IF(M$34=0,-$B117,IF(M$34&gt;Assumptions!$B$20,0,($D117*$E117*M$35)-M$36-MAX(0,($D117*$E117*M$35)-M$36-$B117/Assumptions!$B$31)*Assumptions!$B$33))</f>
        <v>5.1548441173905912</v>
      </c>
      <c r="N117" s="105">
        <f>IF(N$34=0,-$B117,IF(N$34&gt;Assumptions!$B$20,0,($D117*$E117*N$35)-N$36-MAX(0,($D117*$E117*N$35)-N$36-$B117/Assumptions!$B$31)*Assumptions!$B$33))</f>
        <v>5.2033603681454492</v>
      </c>
      <c r="O117" s="105">
        <f>IF(O$34=0,-$B117,IF(O$34&gt;Assumptions!$B$20,0,($D117*$E117*O$35)-O$36-MAX(0,($D117*$E117*O$35)-O$36-$B117/Assumptions!$B$31)*Assumptions!$B$33))</f>
        <v>5.25217892033145</v>
      </c>
      <c r="P117" s="105">
        <f>IF(P$34=0,-$B117,IF(P$34&gt;Assumptions!$B$20,0,($D117*$E117*P$35)-P$36-MAX(0,($D117*$E117*P$35)-P$36-$B117/Assumptions!$B$31)*Assumptions!$B$33))</f>
        <v>5.3012915452001552</v>
      </c>
      <c r="Q117" s="105">
        <f>IF(Q$34=0,-$B117,IF(Q$34&gt;Assumptions!$B$20,0,($D117*$E117*Q$35)-Q$36-MAX(0,($D117*$E117*Q$35)-Q$36-$B117/Assumptions!$B$31)*Assumptions!$B$33))</f>
        <v>5.3506895076738044</v>
      </c>
      <c r="R117" s="105">
        <f>IF(R$34=0,-$B117,IF(R$34&gt;Assumptions!$B$20,0,($D117*$E117*R$35)-R$36-MAX(0,($D117*$E117*R$35)-R$36-$B117/Assumptions!$B$31)*Assumptions!$B$33))</f>
        <v>5.400363547263427</v>
      </c>
      <c r="S117" s="105">
        <f>IF(S$34=0,-$B117,IF(S$34&gt;Assumptions!$B$20,0,($D117*$E117*S$35)-S$36-MAX(0,($D117*$E117*S$35)-S$36-$B117/Assumptions!$B$31)*Assumptions!$B$33))</f>
        <v>5.4503038583561292</v>
      </c>
      <c r="T117" s="105">
        <f>IF(T$34=0,-$B117,IF(T$34&gt;Assumptions!$B$20,0,($D117*$E117*T$35)-T$36-MAX(0,($D117*$E117*T$35)-T$36-$B117/Assumptions!$B$31)*Assumptions!$B$33))</f>
        <v>5.5005000698517339</v>
      </c>
      <c r="U117" s="105">
        <f>IF(U$34=0,-$B117,IF(U$34&gt;Assumptions!$B$20,0,($D117*$E117*U$35)-U$36-MAX(0,($D117*$E117*U$35)-U$36-$B117/Assumptions!$B$31)*Assumptions!$B$33))</f>
        <v>5.5509412241283806</v>
      </c>
      <c r="V117" s="105">
        <f>IF(V$34=0,-$B117,IF(V$34&gt;Assumptions!$B$20,0,($D117*$E117*V$35)-V$36-MAX(0,($D117*$E117*V$35)-V$36-$B117/Assumptions!$B$31)*Assumptions!$B$33))</f>
        <v>5.6016157553160451</v>
      </c>
      <c r="W117" s="105">
        <f>IF(W$34=0,-$B117,IF(W$34&gt;Assumptions!$B$20,0,($D117*$E117*W$35)-W$36-MAX(0,($D117*$E117*W$35)-W$36-$B117/Assumptions!$B$31)*Assumptions!$B$33))</f>
        <v>5.6525114668562946</v>
      </c>
      <c r="X117" s="105">
        <f>IF(X$34=0,-$B117,IF(X$34&gt;Assumptions!$B$20,0,($D117*$E117*X$35)-X$36-MAX(0,($D117*$E117*X$35)-X$36-$B117/Assumptions!$B$31)*Assumptions!$B$33))</f>
        <v>5.7036155083259636</v>
      </c>
      <c r="Y117" s="105">
        <f>IF(Y$34=0,-$B117,IF(Y$34&gt;Assumptions!$B$20,0,($D117*$E117*Y$35)-Y$36-MAX(0,($D117*$E117*Y$35)-Y$36-$B117/Assumptions!$B$31)*Assumptions!$B$33))</f>
        <v>5.7549143515016823</v>
      </c>
      <c r="Z117" s="105">
        <f>IF(Z$34=0,-$B117,IF(Z$34&gt;Assumptions!$B$20,0,($D117*$E117*Z$35)-Z$36-MAX(0,($D117*$E117*Z$35)-Z$36-$B117/Assumptions!$B$31)*Assumptions!$B$33))</f>
        <v>5.8063937656415625</v>
      </c>
      <c r="AA117" s="105">
        <f>IF(AA$34=0,-$B117,IF(AA$34&gt;Assumptions!$B$20,0,($D117*$E117*AA$35)-AA$36-MAX(0,($D117*$E117*AA$35)-AA$36-$B117/Assumptions!$B$31)*Assumptions!$B$33))</f>
        <v>5.8580387919595616</v>
      </c>
      <c r="AB117" s="105">
        <f>IF(AB$34=0,-$B117,IF(AB$34&gt;Assumptions!$B$20,0,($D117*$E117*AB$35)-AB$36-MAX(0,($D117*$E117*AB$35)-AB$36-$B117/Assumptions!$B$31)*Assumptions!$B$33))</f>
        <v>5.9098337172673308</v>
      </c>
    </row>
    <row r="118" spans="1:28" outlineLevel="1" x14ac:dyDescent="0.3">
      <c r="A118" s="100">
        <f t="shared" si="9"/>
        <v>27</v>
      </c>
      <c r="B118" s="102" cm="1">
        <f t="array" ref="B118">INDEX($M$11:$S$11,MOD(ROW()-92,7)+1)</f>
        <v>70</v>
      </c>
      <c r="C118" s="101" cm="1">
        <f t="array" ref="C118">INDEX($L$12:$L$18,ROUNDUP((ROW()-91)/7,0))</f>
        <v>0.21000000000000002</v>
      </c>
      <c r="D118" s="102">
        <f>Assumptions!$B$10*$C118</f>
        <v>91.98</v>
      </c>
      <c r="E118" s="103">
        <f>Assumptions!$B$23</f>
        <v>7.4999999999999997E-2</v>
      </c>
      <c r="F118" s="101">
        <f t="shared" si="10"/>
        <v>4.6064352881804993E-2</v>
      </c>
      <c r="H118" s="105">
        <f>IF(H$34=0,-$B118,IF(H$34&gt;Assumptions!$B$20,0,($D118*$E118*H$35)-H$36-MAX(0,($D118*$E118*H$35)-H$36-$B118/Assumptions!$B$31)*Assumptions!$B$33))</f>
        <v>-70</v>
      </c>
      <c r="I118" s="105">
        <f>IF(I$34=0,-$B118,IF(I$34&gt;Assumptions!$B$20,0,($D118*$E118*I$35)-I$36-MAX(0,($D118*$E118*I$35)-I$36-$B118/Assumptions!$B$31)*Assumptions!$B$33))</f>
        <v>5.0389499999999998</v>
      </c>
      <c r="J118" s="105">
        <f>IF(J$34=0,-$B118,IF(J$34&gt;Assumptions!$B$20,0,($D118*$E118*J$35)-J$36-MAX(0,($D118*$E118*J$35)-J$36-$B118/Assumptions!$B$31)*Assumptions!$B$33))</f>
        <v>5.0861842499999996</v>
      </c>
      <c r="K118" s="105">
        <f>IF(K$34=0,-$B118,IF(K$34&gt;Assumptions!$B$20,0,($D118*$E118*K$35)-K$36-MAX(0,($D118*$E118*K$35)-K$36-$B118/Assumptions!$B$31)*Assumptions!$B$33))</f>
        <v>5.1337490137499993</v>
      </c>
      <c r="L118" s="105">
        <f>IF(L$34=0,-$B118,IF(L$34&gt;Assumptions!$B$20,0,($D118*$E118*L$35)-L$36-MAX(0,($D118*$E118*L$35)-L$36-$B118/Assumptions!$B$31)*Assumptions!$B$33))</f>
        <v>5.1816379089562483</v>
      </c>
      <c r="M118" s="105">
        <f>IF(M$34=0,-$B118,IF(M$34&gt;Assumptions!$B$20,0,($D118*$E118*M$35)-M$36-MAX(0,($D118*$E118*M$35)-M$36-$B118/Assumptions!$B$31)*Assumptions!$B$33))</f>
        <v>5.2298441173905914</v>
      </c>
      <c r="N118" s="105">
        <f>IF(N$34=0,-$B118,IF(N$34&gt;Assumptions!$B$20,0,($D118*$E118*N$35)-N$36-MAX(0,($D118*$E118*N$35)-N$36-$B118/Assumptions!$B$31)*Assumptions!$B$33))</f>
        <v>5.2783603681454494</v>
      </c>
      <c r="O118" s="105">
        <f>IF(O$34=0,-$B118,IF(O$34&gt;Assumptions!$B$20,0,($D118*$E118*O$35)-O$36-MAX(0,($D118*$E118*O$35)-O$36-$B118/Assumptions!$B$31)*Assumptions!$B$33))</f>
        <v>5.3271789203314501</v>
      </c>
      <c r="P118" s="105">
        <f>IF(P$34=0,-$B118,IF(P$34&gt;Assumptions!$B$20,0,($D118*$E118*P$35)-P$36-MAX(0,($D118*$E118*P$35)-P$36-$B118/Assumptions!$B$31)*Assumptions!$B$33))</f>
        <v>5.3762915452001554</v>
      </c>
      <c r="Q118" s="105">
        <f>IF(Q$34=0,-$B118,IF(Q$34&gt;Assumptions!$B$20,0,($D118*$E118*Q$35)-Q$36-MAX(0,($D118*$E118*Q$35)-Q$36-$B118/Assumptions!$B$31)*Assumptions!$B$33))</f>
        <v>5.4256895076738045</v>
      </c>
      <c r="R118" s="105">
        <f>IF(R$34=0,-$B118,IF(R$34&gt;Assumptions!$B$20,0,($D118*$E118*R$35)-R$36-MAX(0,($D118*$E118*R$35)-R$36-$B118/Assumptions!$B$31)*Assumptions!$B$33))</f>
        <v>5.4753635472634272</v>
      </c>
      <c r="S118" s="105">
        <f>IF(S$34=0,-$B118,IF(S$34&gt;Assumptions!$B$20,0,($D118*$E118*S$35)-S$36-MAX(0,($D118*$E118*S$35)-S$36-$B118/Assumptions!$B$31)*Assumptions!$B$33))</f>
        <v>5.5253038583561294</v>
      </c>
      <c r="T118" s="105">
        <f>IF(T$34=0,-$B118,IF(T$34&gt;Assumptions!$B$20,0,($D118*$E118*T$35)-T$36-MAX(0,($D118*$E118*T$35)-T$36-$B118/Assumptions!$B$31)*Assumptions!$B$33))</f>
        <v>5.5755000698517341</v>
      </c>
      <c r="U118" s="105">
        <f>IF(U$34=0,-$B118,IF(U$34&gt;Assumptions!$B$20,0,($D118*$E118*U$35)-U$36-MAX(0,($D118*$E118*U$35)-U$36-$B118/Assumptions!$B$31)*Assumptions!$B$33))</f>
        <v>5.6259412241283808</v>
      </c>
      <c r="V118" s="105">
        <f>IF(V$34=0,-$B118,IF(V$34&gt;Assumptions!$B$20,0,($D118*$E118*V$35)-V$36-MAX(0,($D118*$E118*V$35)-V$36-$B118/Assumptions!$B$31)*Assumptions!$B$33))</f>
        <v>5.6766157553160452</v>
      </c>
      <c r="W118" s="105">
        <f>IF(W$34=0,-$B118,IF(W$34&gt;Assumptions!$B$20,0,($D118*$E118*W$35)-W$36-MAX(0,($D118*$E118*W$35)-W$36-$B118/Assumptions!$B$31)*Assumptions!$B$33))</f>
        <v>5.7275114668562939</v>
      </c>
      <c r="X118" s="105">
        <f>IF(X$34=0,-$B118,IF(X$34&gt;Assumptions!$B$20,0,($D118*$E118*X$35)-X$36-MAX(0,($D118*$E118*X$35)-X$36-$B118/Assumptions!$B$31)*Assumptions!$B$33))</f>
        <v>5.7786155083259638</v>
      </c>
      <c r="Y118" s="105">
        <f>IF(Y$34=0,-$B118,IF(Y$34&gt;Assumptions!$B$20,0,($D118*$E118*Y$35)-Y$36-MAX(0,($D118*$E118*Y$35)-Y$36-$B118/Assumptions!$B$31)*Assumptions!$B$33))</f>
        <v>5.8299143515016825</v>
      </c>
      <c r="Z118" s="105">
        <f>IF(Z$34=0,-$B118,IF(Z$34&gt;Assumptions!$B$20,0,($D118*$E118*Z$35)-Z$36-MAX(0,($D118*$E118*Z$35)-Z$36-$B118/Assumptions!$B$31)*Assumptions!$B$33))</f>
        <v>5.8813937656415627</v>
      </c>
      <c r="AA118" s="105">
        <f>IF(AA$34=0,-$B118,IF(AA$34&gt;Assumptions!$B$20,0,($D118*$E118*AA$35)-AA$36-MAX(0,($D118*$E118*AA$35)-AA$36-$B118/Assumptions!$B$31)*Assumptions!$B$33))</f>
        <v>5.9330387919595617</v>
      </c>
      <c r="AB118" s="105">
        <f>IF(AB$34=0,-$B118,IF(AB$34&gt;Assumptions!$B$20,0,($D118*$E118*AB$35)-AB$36-MAX(0,($D118*$E118*AB$35)-AB$36-$B118/Assumptions!$B$31)*Assumptions!$B$33))</f>
        <v>5.9848337172673309</v>
      </c>
    </row>
    <row r="119" spans="1:28" outlineLevel="1" x14ac:dyDescent="0.3">
      <c r="A119" s="100">
        <f t="shared" si="9"/>
        <v>28</v>
      </c>
      <c r="B119" s="102" cm="1">
        <f t="array" ref="B119">INDEX($M$11:$S$11,MOD(ROW()-92,7)+1)</f>
        <v>75</v>
      </c>
      <c r="C119" s="101" cm="1">
        <f t="array" ref="C119">INDEX($L$12:$L$18,ROUNDUP((ROW()-91)/7,0))</f>
        <v>0.21000000000000002</v>
      </c>
      <c r="D119" s="102">
        <f>Assumptions!$B$10*$C119</f>
        <v>91.98</v>
      </c>
      <c r="E119" s="103">
        <f>Assumptions!$B$23</f>
        <v>7.4999999999999997E-2</v>
      </c>
      <c r="F119" s="101">
        <f t="shared" si="10"/>
        <v>3.9934868353873387E-2</v>
      </c>
      <c r="H119" s="105">
        <f>IF(H$34=0,-$B119,IF(H$34&gt;Assumptions!$B$20,0,($D119*$E119*H$35)-H$36-MAX(0,($D119*$E119*H$35)-H$36-$B119/Assumptions!$B$31)*Assumptions!$B$33))</f>
        <v>-75</v>
      </c>
      <c r="I119" s="105">
        <f>IF(I$34=0,-$B119,IF(I$34&gt;Assumptions!$B$20,0,($D119*$E119*I$35)-I$36-MAX(0,($D119*$E119*I$35)-I$36-$B119/Assumptions!$B$31)*Assumptions!$B$33))</f>
        <v>5.11395</v>
      </c>
      <c r="J119" s="105">
        <f>IF(J$34=0,-$B119,IF(J$34&gt;Assumptions!$B$20,0,($D119*$E119*J$35)-J$36-MAX(0,($D119*$E119*J$35)-J$36-$B119/Assumptions!$B$31)*Assumptions!$B$33))</f>
        <v>5.1611842499999998</v>
      </c>
      <c r="K119" s="105">
        <f>IF(K$34=0,-$B119,IF(K$34&gt;Assumptions!$B$20,0,($D119*$E119*K$35)-K$36-MAX(0,($D119*$E119*K$35)-K$36-$B119/Assumptions!$B$31)*Assumptions!$B$33))</f>
        <v>5.2087490137499985</v>
      </c>
      <c r="L119" s="105">
        <f>IF(L$34=0,-$B119,IF(L$34&gt;Assumptions!$B$20,0,($D119*$E119*L$35)-L$36-MAX(0,($D119*$E119*L$35)-L$36-$B119/Assumptions!$B$31)*Assumptions!$B$33))</f>
        <v>5.2566379089562485</v>
      </c>
      <c r="M119" s="105">
        <f>IF(M$34=0,-$B119,IF(M$34&gt;Assumptions!$B$20,0,($D119*$E119*M$35)-M$36-MAX(0,($D119*$E119*M$35)-M$36-$B119/Assumptions!$B$31)*Assumptions!$B$33))</f>
        <v>5.3048441173905907</v>
      </c>
      <c r="N119" s="105">
        <f>IF(N$34=0,-$B119,IF(N$34&gt;Assumptions!$B$20,0,($D119*$E119*N$35)-N$36-MAX(0,($D119*$E119*N$35)-N$36-$B119/Assumptions!$B$31)*Assumptions!$B$33))</f>
        <v>5.3533603681454496</v>
      </c>
      <c r="O119" s="105">
        <f>IF(O$34=0,-$B119,IF(O$34&gt;Assumptions!$B$20,0,($D119*$E119*O$35)-O$36-MAX(0,($D119*$E119*O$35)-O$36-$B119/Assumptions!$B$31)*Assumptions!$B$33))</f>
        <v>5.4021789203314494</v>
      </c>
      <c r="P119" s="105">
        <f>IF(P$34=0,-$B119,IF(P$34&gt;Assumptions!$B$20,0,($D119*$E119*P$35)-P$36-MAX(0,($D119*$E119*P$35)-P$36-$B119/Assumptions!$B$31)*Assumptions!$B$33))</f>
        <v>5.4512915452001556</v>
      </c>
      <c r="Q119" s="105">
        <f>IF(Q$34=0,-$B119,IF(Q$34&gt;Assumptions!$B$20,0,($D119*$E119*Q$35)-Q$36-MAX(0,($D119*$E119*Q$35)-Q$36-$B119/Assumptions!$B$31)*Assumptions!$B$33))</f>
        <v>5.5006895076738047</v>
      </c>
      <c r="R119" s="105">
        <f>IF(R$34=0,-$B119,IF(R$34&gt;Assumptions!$B$20,0,($D119*$E119*R$35)-R$36-MAX(0,($D119*$E119*R$35)-R$36-$B119/Assumptions!$B$31)*Assumptions!$B$33))</f>
        <v>5.5503635472634265</v>
      </c>
      <c r="S119" s="105">
        <f>IF(S$34=0,-$B119,IF(S$34&gt;Assumptions!$B$20,0,($D119*$E119*S$35)-S$36-MAX(0,($D119*$E119*S$35)-S$36-$B119/Assumptions!$B$31)*Assumptions!$B$33))</f>
        <v>5.6003038583561295</v>
      </c>
      <c r="T119" s="105">
        <f>IF(T$34=0,-$B119,IF(T$34&gt;Assumptions!$B$20,0,($D119*$E119*T$35)-T$36-MAX(0,($D119*$E119*T$35)-T$36-$B119/Assumptions!$B$31)*Assumptions!$B$33))</f>
        <v>5.6505000698517343</v>
      </c>
      <c r="U119" s="105">
        <f>IF(U$34=0,-$B119,IF(U$34&gt;Assumptions!$B$20,0,($D119*$E119*U$35)-U$36-MAX(0,($D119*$E119*U$35)-U$36-$B119/Assumptions!$B$31)*Assumptions!$B$33))</f>
        <v>5.700941224128381</v>
      </c>
      <c r="V119" s="105">
        <f>IF(V$34=0,-$B119,IF(V$34&gt;Assumptions!$B$20,0,($D119*$E119*V$35)-V$36-MAX(0,($D119*$E119*V$35)-V$36-$B119/Assumptions!$B$31)*Assumptions!$B$33))</f>
        <v>5.7516157553160454</v>
      </c>
      <c r="W119" s="105">
        <f>IF(W$34=0,-$B119,IF(W$34&gt;Assumptions!$B$20,0,($D119*$E119*W$35)-W$36-MAX(0,($D119*$E119*W$35)-W$36-$B119/Assumptions!$B$31)*Assumptions!$B$33))</f>
        <v>5.802511466856294</v>
      </c>
      <c r="X119" s="105">
        <f>IF(X$34=0,-$B119,IF(X$34&gt;Assumptions!$B$20,0,($D119*$E119*X$35)-X$36-MAX(0,($D119*$E119*X$35)-X$36-$B119/Assumptions!$B$31)*Assumptions!$B$33))</f>
        <v>5.853615508325964</v>
      </c>
      <c r="Y119" s="105">
        <f>IF(Y$34=0,-$B119,IF(Y$34&gt;Assumptions!$B$20,0,($D119*$E119*Y$35)-Y$36-MAX(0,($D119*$E119*Y$35)-Y$36-$B119/Assumptions!$B$31)*Assumptions!$B$33))</f>
        <v>5.9049143515016826</v>
      </c>
      <c r="Z119" s="105">
        <f>IF(Z$34=0,-$B119,IF(Z$34&gt;Assumptions!$B$20,0,($D119*$E119*Z$35)-Z$36-MAX(0,($D119*$E119*Z$35)-Z$36-$B119/Assumptions!$B$31)*Assumptions!$B$33))</f>
        <v>5.9563937656415629</v>
      </c>
      <c r="AA119" s="105">
        <f>IF(AA$34=0,-$B119,IF(AA$34&gt;Assumptions!$B$20,0,($D119*$E119*AA$35)-AA$36-MAX(0,($D119*$E119*AA$35)-AA$36-$B119/Assumptions!$B$31)*Assumptions!$B$33))</f>
        <v>6.0080387919595619</v>
      </c>
      <c r="AB119" s="105">
        <f>IF(AB$34=0,-$B119,IF(AB$34&gt;Assumptions!$B$20,0,($D119*$E119*AB$35)-AB$36-MAX(0,($D119*$E119*AB$35)-AB$36-$B119/Assumptions!$B$31)*Assumptions!$B$33))</f>
        <v>6.0598337172673311</v>
      </c>
    </row>
    <row r="120" spans="1:28" outlineLevel="1" x14ac:dyDescent="0.3">
      <c r="A120" s="100">
        <f t="shared" si="9"/>
        <v>29</v>
      </c>
      <c r="B120" s="102" cm="1">
        <f t="array" ref="B120">INDEX($M$11:$S$11,MOD(ROW()-92,7)+1)</f>
        <v>45</v>
      </c>
      <c r="C120" s="101" cm="1">
        <f t="array" ref="C120">INDEX($L$12:$L$18,ROUNDUP((ROW()-91)/7,0))</f>
        <v>0.22500000000000003</v>
      </c>
      <c r="D120" s="102">
        <f>Assumptions!$B$10*$C120</f>
        <v>98.550000000000011</v>
      </c>
      <c r="E120" s="103">
        <f>Assumptions!$B$23</f>
        <v>7.4999999999999997E-2</v>
      </c>
      <c r="F120" s="101">
        <f t="shared" si="10"/>
        <v>0.10203617756299899</v>
      </c>
      <c r="H120" s="105">
        <f>IF(H$34=0,-$B120,IF(H$34&gt;Assumptions!$B$20,0,($D120*$E120*H$35)-H$36-MAX(0,($D120*$E120*H$35)-H$36-$B120/Assumptions!$B$31)*Assumptions!$B$33))</f>
        <v>-45</v>
      </c>
      <c r="I120" s="105">
        <f>IF(I$34=0,-$B120,IF(I$34&gt;Assumptions!$B$20,0,($D120*$E120*I$35)-I$36-MAX(0,($D120*$E120*I$35)-I$36-$B120/Assumptions!$B$31)*Assumptions!$B$33))</f>
        <v>5.0088749999999997</v>
      </c>
      <c r="J120" s="105">
        <f>IF(J$34=0,-$B120,IF(J$34&gt;Assumptions!$B$20,0,($D120*$E120*J$35)-J$36-MAX(0,($D120*$E120*J$35)-J$36-$B120/Assumptions!$B$31)*Assumptions!$B$33))</f>
        <v>5.0612831249999992</v>
      </c>
      <c r="K120" s="105">
        <f>IF(K$34=0,-$B120,IF(K$34&gt;Assumptions!$B$20,0,($D120*$E120*K$35)-K$36-MAX(0,($D120*$E120*K$35)-K$36-$B120/Assumptions!$B$31)*Assumptions!$B$33))</f>
        <v>5.1140993718749987</v>
      </c>
      <c r="L120" s="105">
        <f>IF(L$34=0,-$B120,IF(L$34&gt;Assumptions!$B$20,0,($D120*$E120*L$35)-L$36-MAX(0,($D120*$E120*L$35)-L$36-$B120/Assumptions!$B$31)*Assumptions!$B$33))</f>
        <v>5.1673185224531233</v>
      </c>
      <c r="M120" s="105">
        <f>IF(M$34=0,-$B120,IF(M$34&gt;Assumptions!$B$20,0,($D120*$E120*M$35)-M$36-MAX(0,($D120*$E120*M$35)-M$36-$B120/Assumptions!$B$31)*Assumptions!$B$33))</f>
        <v>5.2209349400899185</v>
      </c>
      <c r="N120" s="105">
        <f>IF(N$34=0,-$B120,IF(N$34&gt;Assumptions!$B$20,0,($D120*$E120*N$35)-N$36-MAX(0,($D120*$E120*N$35)-N$36-$B120/Assumptions!$B$31)*Assumptions!$B$33))</f>
        <v>5.2749425531852676</v>
      </c>
      <c r="O120" s="105">
        <f>IF(O$34=0,-$B120,IF(O$34&gt;Assumptions!$B$20,0,($D120*$E120*O$35)-O$36-MAX(0,($D120*$E120*O$35)-O$36-$B120/Assumptions!$B$31)*Assumptions!$B$33))</f>
        <v>5.3293348381468659</v>
      </c>
      <c r="P120" s="105">
        <f>IF(P$34=0,-$B120,IF(P$34&gt;Assumptions!$B$20,0,($D120*$E120*P$35)-P$36-MAX(0,($D120*$E120*P$35)-P$36-$B120/Assumptions!$B$31)*Assumptions!$B$33))</f>
        <v>5.3841048017828026</v>
      </c>
      <c r="Q120" s="105">
        <f>IF(Q$34=0,-$B120,IF(Q$34&gt;Assumptions!$B$20,0,($D120*$E120*Q$35)-Q$36-MAX(0,($D120*$E120*Q$35)-Q$36-$B120/Assumptions!$B$31)*Assumptions!$B$33))</f>
        <v>5.4392449631051907</v>
      </c>
      <c r="R120" s="105">
        <f>IF(R$34=0,-$B120,IF(R$34&gt;Assumptions!$B$20,0,($D120*$E120*R$35)-R$36-MAX(0,($D120*$E120*R$35)-R$36-$B120/Assumptions!$B$31)*Assumptions!$B$33))</f>
        <v>5.4947473345262843</v>
      </c>
      <c r="S120" s="105">
        <f>IF(S$34=0,-$B120,IF(S$34&gt;Assumptions!$B$20,0,($D120*$E120*S$35)-S$36-MAX(0,($D120*$E120*S$35)-S$36-$B120/Assumptions!$B$31)*Assumptions!$B$33))</f>
        <v>5.550603402427928</v>
      </c>
      <c r="T120" s="105">
        <f>IF(T$34=0,-$B120,IF(T$34&gt;Assumptions!$B$20,0,($D120*$E120*T$35)-T$36-MAX(0,($D120*$E120*T$35)-T$36-$B120/Assumptions!$B$31)*Assumptions!$B$33))</f>
        <v>5.60680410708461</v>
      </c>
      <c r="U120" s="105">
        <f>IF(U$34=0,-$B120,IF(U$34&gt;Assumptions!$B$20,0,($D120*$E120*U$35)-U$36-MAX(0,($D120*$E120*U$35)-U$36-$B120/Assumptions!$B$31)*Assumptions!$B$33))</f>
        <v>5.6633398219197515</v>
      </c>
      <c r="V120" s="105">
        <f>IF(V$34=0,-$B120,IF(V$34&gt;Assumptions!$B$20,0,($D120*$E120*V$35)-V$36-MAX(0,($D120*$E120*V$35)-V$36-$B120/Assumptions!$B$31)*Assumptions!$B$33))</f>
        <v>5.7202003320742847</v>
      </c>
      <c r="W120" s="105">
        <f>IF(W$34=0,-$B120,IF(W$34&gt;Assumptions!$B$20,0,($D120*$E120*W$35)-W$36-MAX(0,($D120*$E120*W$35)-W$36-$B120/Assumptions!$B$31)*Assumptions!$B$33))</f>
        <v>5.777374812265907</v>
      </c>
      <c r="X120" s="105">
        <f>IF(X$34=0,-$B120,IF(X$34&gt;Assumptions!$B$20,0,($D120*$E120*X$35)-X$36-MAX(0,($D120*$E120*X$35)-X$36-$B120/Assumptions!$B$31)*Assumptions!$B$33))</f>
        <v>5.8348518039167203</v>
      </c>
      <c r="Y120" s="105">
        <f>IF(Y$34=0,-$B120,IF(Y$34&gt;Assumptions!$B$20,0,($D120*$E120*Y$35)-Y$36-MAX(0,($D120*$E120*Y$35)-Y$36-$B120/Assumptions!$B$31)*Assumptions!$B$33))</f>
        <v>5.8926191915263013</v>
      </c>
      <c r="Z120" s="105">
        <f>IF(Z$34=0,-$B120,IF(Z$34&gt;Assumptions!$B$20,0,($D120*$E120*Z$35)-Z$36-MAX(0,($D120*$E120*Z$35)-Z$36-$B120/Assumptions!$B$31)*Assumptions!$B$33))</f>
        <v>5.9506641782665506</v>
      </c>
      <c r="AA120" s="105">
        <f>IF(AA$34=0,-$B120,IF(AA$34&gt;Assumptions!$B$20,0,($D120*$E120*AA$35)-AA$36-MAX(0,($D120*$E120*AA$35)-AA$36-$B120/Assumptions!$B$31)*Assumptions!$B$33))</f>
        <v>6.0089732607739244</v>
      </c>
      <c r="AB120" s="105">
        <f>IF(AB$34=0,-$B120,IF(AB$34&gt;Assumptions!$B$20,0,($D120*$E120*AB$35)-AB$36-MAX(0,($D120*$E120*AB$35)-AB$36-$B120/Assumptions!$B$31)*Assumptions!$B$33))</f>
        <v>6.0675322031139096</v>
      </c>
    </row>
    <row r="121" spans="1:28" outlineLevel="1" x14ac:dyDescent="0.3">
      <c r="A121" s="100">
        <f t="shared" si="9"/>
        <v>30</v>
      </c>
      <c r="B121" s="102" cm="1">
        <f t="array" ref="B121">INDEX($M$11:$S$11,MOD(ROW()-92,7)+1)</f>
        <v>50</v>
      </c>
      <c r="C121" s="101" cm="1">
        <f t="array" ref="C121">INDEX($L$12:$L$18,ROUNDUP((ROW()-91)/7,0))</f>
        <v>0.22500000000000003</v>
      </c>
      <c r="D121" s="102">
        <f>Assumptions!$B$10*$C121</f>
        <v>98.550000000000011</v>
      </c>
      <c r="E121" s="103">
        <f>Assumptions!$B$23</f>
        <v>7.4999999999999997E-2</v>
      </c>
      <c r="F121" s="101">
        <f t="shared" si="10"/>
        <v>8.9362756196837312E-2</v>
      </c>
      <c r="H121" s="105">
        <f>IF(H$34=0,-$B121,IF(H$34&gt;Assumptions!$B$20,0,($D121*$E121*H$35)-H$36-MAX(0,($D121*$E121*H$35)-H$36-$B121/Assumptions!$B$31)*Assumptions!$B$33))</f>
        <v>-50</v>
      </c>
      <c r="I121" s="105">
        <f>IF(I$34=0,-$B121,IF(I$34&gt;Assumptions!$B$20,0,($D121*$E121*I$35)-I$36-MAX(0,($D121*$E121*I$35)-I$36-$B121/Assumptions!$B$31)*Assumptions!$B$33))</f>
        <v>5.0838749999999999</v>
      </c>
      <c r="J121" s="105">
        <f>IF(J$34=0,-$B121,IF(J$34&gt;Assumptions!$B$20,0,($D121*$E121*J$35)-J$36-MAX(0,($D121*$E121*J$35)-J$36-$B121/Assumptions!$B$31)*Assumptions!$B$33))</f>
        <v>5.1362831249999994</v>
      </c>
      <c r="K121" s="105">
        <f>IF(K$34=0,-$B121,IF(K$34&gt;Assumptions!$B$20,0,($D121*$E121*K$35)-K$36-MAX(0,($D121*$E121*K$35)-K$36-$B121/Assumptions!$B$31)*Assumptions!$B$33))</f>
        <v>5.1890993718749989</v>
      </c>
      <c r="L121" s="105">
        <f>IF(L$34=0,-$B121,IF(L$34&gt;Assumptions!$B$20,0,($D121*$E121*L$35)-L$36-MAX(0,($D121*$E121*L$35)-L$36-$B121/Assumptions!$B$31)*Assumptions!$B$33))</f>
        <v>5.2423185224531235</v>
      </c>
      <c r="M121" s="105">
        <f>IF(M$34=0,-$B121,IF(M$34&gt;Assumptions!$B$20,0,($D121*$E121*M$35)-M$36-MAX(0,($D121*$E121*M$35)-M$36-$B121/Assumptions!$B$31)*Assumptions!$B$33))</f>
        <v>5.2959349400899187</v>
      </c>
      <c r="N121" s="105">
        <f>IF(N$34=0,-$B121,IF(N$34&gt;Assumptions!$B$20,0,($D121*$E121*N$35)-N$36-MAX(0,($D121*$E121*N$35)-N$36-$B121/Assumptions!$B$31)*Assumptions!$B$33))</f>
        <v>5.3499425531852678</v>
      </c>
      <c r="O121" s="105">
        <f>IF(O$34=0,-$B121,IF(O$34&gt;Assumptions!$B$20,0,($D121*$E121*O$35)-O$36-MAX(0,($D121*$E121*O$35)-O$36-$B121/Assumptions!$B$31)*Assumptions!$B$33))</f>
        <v>5.4043348381468661</v>
      </c>
      <c r="P121" s="105">
        <f>IF(P$34=0,-$B121,IF(P$34&gt;Assumptions!$B$20,0,($D121*$E121*P$35)-P$36-MAX(0,($D121*$E121*P$35)-P$36-$B121/Assumptions!$B$31)*Assumptions!$B$33))</f>
        <v>5.4591048017828019</v>
      </c>
      <c r="Q121" s="105">
        <f>IF(Q$34=0,-$B121,IF(Q$34&gt;Assumptions!$B$20,0,($D121*$E121*Q$35)-Q$36-MAX(0,($D121*$E121*Q$35)-Q$36-$B121/Assumptions!$B$31)*Assumptions!$B$33))</f>
        <v>5.5142449631051909</v>
      </c>
      <c r="R121" s="105">
        <f>IF(R$34=0,-$B121,IF(R$34&gt;Assumptions!$B$20,0,($D121*$E121*R$35)-R$36-MAX(0,($D121*$E121*R$35)-R$36-$B121/Assumptions!$B$31)*Assumptions!$B$33))</f>
        <v>5.5697473345262836</v>
      </c>
      <c r="S121" s="105">
        <f>IF(S$34=0,-$B121,IF(S$34&gt;Assumptions!$B$20,0,($D121*$E121*S$35)-S$36-MAX(0,($D121*$E121*S$35)-S$36-$B121/Assumptions!$B$31)*Assumptions!$B$33))</f>
        <v>5.6256034024279282</v>
      </c>
      <c r="T121" s="105">
        <f>IF(T$34=0,-$B121,IF(T$34&gt;Assumptions!$B$20,0,($D121*$E121*T$35)-T$36-MAX(0,($D121*$E121*T$35)-T$36-$B121/Assumptions!$B$31)*Assumptions!$B$33))</f>
        <v>5.6818041070846101</v>
      </c>
      <c r="U121" s="105">
        <f>IF(U$34=0,-$B121,IF(U$34&gt;Assumptions!$B$20,0,($D121*$E121*U$35)-U$36-MAX(0,($D121*$E121*U$35)-U$36-$B121/Assumptions!$B$31)*Assumptions!$B$33))</f>
        <v>5.7383398219197517</v>
      </c>
      <c r="V121" s="105">
        <f>IF(V$34=0,-$B121,IF(V$34&gt;Assumptions!$B$20,0,($D121*$E121*V$35)-V$36-MAX(0,($D121*$E121*V$35)-V$36-$B121/Assumptions!$B$31)*Assumptions!$B$33))</f>
        <v>5.7952003320742849</v>
      </c>
      <c r="W121" s="105">
        <f>IF(W$34=0,-$B121,IF(W$34&gt;Assumptions!$B$20,0,($D121*$E121*W$35)-W$36-MAX(0,($D121*$E121*W$35)-W$36-$B121/Assumptions!$B$31)*Assumptions!$B$33))</f>
        <v>5.8523748122659072</v>
      </c>
      <c r="X121" s="105">
        <f>IF(X$34=0,-$B121,IF(X$34&gt;Assumptions!$B$20,0,($D121*$E121*X$35)-X$36-MAX(0,($D121*$E121*X$35)-X$36-$B121/Assumptions!$B$31)*Assumptions!$B$33))</f>
        <v>5.9098518039167205</v>
      </c>
      <c r="Y121" s="105">
        <f>IF(Y$34=0,-$B121,IF(Y$34&gt;Assumptions!$B$20,0,($D121*$E121*Y$35)-Y$36-MAX(0,($D121*$E121*Y$35)-Y$36-$B121/Assumptions!$B$31)*Assumptions!$B$33))</f>
        <v>5.9676191915263015</v>
      </c>
      <c r="Z121" s="105">
        <f>IF(Z$34=0,-$B121,IF(Z$34&gt;Assumptions!$B$20,0,($D121*$E121*Z$35)-Z$36-MAX(0,($D121*$E121*Z$35)-Z$36-$B121/Assumptions!$B$31)*Assumptions!$B$33))</f>
        <v>6.0256641782665508</v>
      </c>
      <c r="AA121" s="105">
        <f>IF(AA$34=0,-$B121,IF(AA$34&gt;Assumptions!$B$20,0,($D121*$E121*AA$35)-AA$36-MAX(0,($D121*$E121*AA$35)-AA$36-$B121/Assumptions!$B$31)*Assumptions!$B$33))</f>
        <v>6.0839732607739245</v>
      </c>
      <c r="AB121" s="105">
        <f>IF(AB$34=0,-$B121,IF(AB$34&gt;Assumptions!$B$20,0,($D121*$E121*AB$35)-AB$36-MAX(0,($D121*$E121*AB$35)-AB$36-$B121/Assumptions!$B$31)*Assumptions!$B$33))</f>
        <v>6.1425322031139089</v>
      </c>
    </row>
    <row r="122" spans="1:28" outlineLevel="1" x14ac:dyDescent="0.3">
      <c r="A122" s="100">
        <f t="shared" si="9"/>
        <v>31</v>
      </c>
      <c r="B122" s="102" cm="1">
        <f t="array" ref="B122">INDEX($M$11:$S$11,MOD(ROW()-92,7)+1)</f>
        <v>55</v>
      </c>
      <c r="C122" s="101" cm="1">
        <f t="array" ref="C122">INDEX($L$12:$L$18,ROUNDUP((ROW()-91)/7,0))</f>
        <v>0.22500000000000003</v>
      </c>
      <c r="D122" s="102">
        <f>Assumptions!$B$10*$C122</f>
        <v>98.550000000000011</v>
      </c>
      <c r="E122" s="103">
        <f>Assumptions!$B$23</f>
        <v>7.4999999999999997E-2</v>
      </c>
      <c r="F122" s="101">
        <f t="shared" si="10"/>
        <v>7.8599161129330408E-2</v>
      </c>
      <c r="H122" s="105">
        <f>IF(H$34=0,-$B122,IF(H$34&gt;Assumptions!$B$20,0,($D122*$E122*H$35)-H$36-MAX(0,($D122*$E122*H$35)-H$36-$B122/Assumptions!$B$31)*Assumptions!$B$33))</f>
        <v>-55</v>
      </c>
      <c r="I122" s="105">
        <f>IF(I$34=0,-$B122,IF(I$34&gt;Assumptions!$B$20,0,($D122*$E122*I$35)-I$36-MAX(0,($D122*$E122*I$35)-I$36-$B122/Assumptions!$B$31)*Assumptions!$B$33))</f>
        <v>5.1588750000000001</v>
      </c>
      <c r="J122" s="105">
        <f>IF(J$34=0,-$B122,IF(J$34&gt;Assumptions!$B$20,0,($D122*$E122*J$35)-J$36-MAX(0,($D122*$E122*J$35)-J$36-$B122/Assumptions!$B$31)*Assumptions!$B$33))</f>
        <v>5.2112831249999996</v>
      </c>
      <c r="K122" s="105">
        <f>IF(K$34=0,-$B122,IF(K$34&gt;Assumptions!$B$20,0,($D122*$E122*K$35)-K$36-MAX(0,($D122*$E122*K$35)-K$36-$B122/Assumptions!$B$31)*Assumptions!$B$33))</f>
        <v>5.2640993718749982</v>
      </c>
      <c r="L122" s="105">
        <f>IF(L$34=0,-$B122,IF(L$34&gt;Assumptions!$B$20,0,($D122*$E122*L$35)-L$36-MAX(0,($D122*$E122*L$35)-L$36-$B122/Assumptions!$B$31)*Assumptions!$B$33))</f>
        <v>5.3173185224531228</v>
      </c>
      <c r="M122" s="105">
        <f>IF(M$34=0,-$B122,IF(M$34&gt;Assumptions!$B$20,0,($D122*$E122*M$35)-M$36-MAX(0,($D122*$E122*M$35)-M$36-$B122/Assumptions!$B$31)*Assumptions!$B$33))</f>
        <v>5.3709349400899189</v>
      </c>
      <c r="N122" s="105">
        <f>IF(N$34=0,-$B122,IF(N$34&gt;Assumptions!$B$20,0,($D122*$E122*N$35)-N$36-MAX(0,($D122*$E122*N$35)-N$36-$B122/Assumptions!$B$31)*Assumptions!$B$33))</f>
        <v>5.424942553185268</v>
      </c>
      <c r="O122" s="105">
        <f>IF(O$34=0,-$B122,IF(O$34&gt;Assumptions!$B$20,0,($D122*$E122*O$35)-O$36-MAX(0,($D122*$E122*O$35)-O$36-$B122/Assumptions!$B$31)*Assumptions!$B$33))</f>
        <v>5.4793348381468654</v>
      </c>
      <c r="P122" s="105">
        <f>IF(P$34=0,-$B122,IF(P$34&gt;Assumptions!$B$20,0,($D122*$E122*P$35)-P$36-MAX(0,($D122*$E122*P$35)-P$36-$B122/Assumptions!$B$31)*Assumptions!$B$33))</f>
        <v>5.5341048017828021</v>
      </c>
      <c r="Q122" s="105">
        <f>IF(Q$34=0,-$B122,IF(Q$34&gt;Assumptions!$B$20,0,($D122*$E122*Q$35)-Q$36-MAX(0,($D122*$E122*Q$35)-Q$36-$B122/Assumptions!$B$31)*Assumptions!$B$33))</f>
        <v>5.589244963105191</v>
      </c>
      <c r="R122" s="105">
        <f>IF(R$34=0,-$B122,IF(R$34&gt;Assumptions!$B$20,0,($D122*$E122*R$35)-R$36-MAX(0,($D122*$E122*R$35)-R$36-$B122/Assumptions!$B$31)*Assumptions!$B$33))</f>
        <v>5.6447473345262837</v>
      </c>
      <c r="S122" s="105">
        <f>IF(S$34=0,-$B122,IF(S$34&gt;Assumptions!$B$20,0,($D122*$E122*S$35)-S$36-MAX(0,($D122*$E122*S$35)-S$36-$B122/Assumptions!$B$31)*Assumptions!$B$33))</f>
        <v>5.7006034024279284</v>
      </c>
      <c r="T122" s="105">
        <f>IF(T$34=0,-$B122,IF(T$34&gt;Assumptions!$B$20,0,($D122*$E122*T$35)-T$36-MAX(0,($D122*$E122*T$35)-T$36-$B122/Assumptions!$B$31)*Assumptions!$B$33))</f>
        <v>5.7568041070846103</v>
      </c>
      <c r="U122" s="105">
        <f>IF(U$34=0,-$B122,IF(U$34&gt;Assumptions!$B$20,0,($D122*$E122*U$35)-U$36-MAX(0,($D122*$E122*U$35)-U$36-$B122/Assumptions!$B$31)*Assumptions!$B$33))</f>
        <v>5.813339821919751</v>
      </c>
      <c r="V122" s="105">
        <f>IF(V$34=0,-$B122,IF(V$34&gt;Assumptions!$B$20,0,($D122*$E122*V$35)-V$36-MAX(0,($D122*$E122*V$35)-V$36-$B122/Assumptions!$B$31)*Assumptions!$B$33))</f>
        <v>5.870200332074285</v>
      </c>
      <c r="W122" s="105">
        <f>IF(W$34=0,-$B122,IF(W$34&gt;Assumptions!$B$20,0,($D122*$E122*W$35)-W$36-MAX(0,($D122*$E122*W$35)-W$36-$B122/Assumptions!$B$31)*Assumptions!$B$33))</f>
        <v>5.9273748122659065</v>
      </c>
      <c r="X122" s="105">
        <f>IF(X$34=0,-$B122,IF(X$34&gt;Assumptions!$B$20,0,($D122*$E122*X$35)-X$36-MAX(0,($D122*$E122*X$35)-X$36-$B122/Assumptions!$B$31)*Assumptions!$B$33))</f>
        <v>5.9848518039167207</v>
      </c>
      <c r="Y122" s="105">
        <f>IF(Y$34=0,-$B122,IF(Y$34&gt;Assumptions!$B$20,0,($D122*$E122*Y$35)-Y$36-MAX(0,($D122*$E122*Y$35)-Y$36-$B122/Assumptions!$B$31)*Assumptions!$B$33))</f>
        <v>6.0426191915263008</v>
      </c>
      <c r="Z122" s="105">
        <f>IF(Z$34=0,-$B122,IF(Z$34&gt;Assumptions!$B$20,0,($D122*$E122*Z$35)-Z$36-MAX(0,($D122*$E122*Z$35)-Z$36-$B122/Assumptions!$B$31)*Assumptions!$B$33))</f>
        <v>6.1006641782665509</v>
      </c>
      <c r="AA122" s="105">
        <f>IF(AA$34=0,-$B122,IF(AA$34&gt;Assumptions!$B$20,0,($D122*$E122*AA$35)-AA$36-MAX(0,($D122*$E122*AA$35)-AA$36-$B122/Assumptions!$B$31)*Assumptions!$B$33))</f>
        <v>6.1589732607739247</v>
      </c>
      <c r="AB122" s="105">
        <f>IF(AB$34=0,-$B122,IF(AB$34&gt;Assumptions!$B$20,0,($D122*$E122*AB$35)-AB$36-MAX(0,($D122*$E122*AB$35)-AB$36-$B122/Assumptions!$B$31)*Assumptions!$B$33))</f>
        <v>6.2175322031139091</v>
      </c>
    </row>
    <row r="123" spans="1:28" outlineLevel="1" x14ac:dyDescent="0.3">
      <c r="A123" s="100">
        <f t="shared" si="9"/>
        <v>32</v>
      </c>
      <c r="B123" s="102" cm="1">
        <f t="array" ref="B123">INDEX($M$11:$S$11,MOD(ROW()-92,7)+1)</f>
        <v>60</v>
      </c>
      <c r="C123" s="101" cm="1">
        <f t="array" ref="C123">INDEX($L$12:$L$18,ROUNDUP((ROW()-91)/7,0))</f>
        <v>0.22500000000000003</v>
      </c>
      <c r="D123" s="102">
        <f>Assumptions!$B$10*$C123</f>
        <v>98.550000000000011</v>
      </c>
      <c r="E123" s="103">
        <f>Assumptions!$B$23</f>
        <v>7.4999999999999997E-2</v>
      </c>
      <c r="F123" s="101">
        <f t="shared" si="10"/>
        <v>6.9305635904835849E-2</v>
      </c>
      <c r="H123" s="105">
        <f>IF(H$34=0,-$B123,IF(H$34&gt;Assumptions!$B$20,0,($D123*$E123*H$35)-H$36-MAX(0,($D123*$E123*H$35)-H$36-$B123/Assumptions!$B$31)*Assumptions!$B$33))</f>
        <v>-60</v>
      </c>
      <c r="I123" s="105">
        <f>IF(I$34=0,-$B123,IF(I$34&gt;Assumptions!$B$20,0,($D123*$E123*I$35)-I$36-MAX(0,($D123*$E123*I$35)-I$36-$B123/Assumptions!$B$31)*Assumptions!$B$33))</f>
        <v>5.2338750000000003</v>
      </c>
      <c r="J123" s="105">
        <f>IF(J$34=0,-$B123,IF(J$34&gt;Assumptions!$B$20,0,($D123*$E123*J$35)-J$36-MAX(0,($D123*$E123*J$35)-J$36-$B123/Assumptions!$B$31)*Assumptions!$B$33))</f>
        <v>5.2862831249999997</v>
      </c>
      <c r="K123" s="105">
        <f>IF(K$34=0,-$B123,IF(K$34&gt;Assumptions!$B$20,0,($D123*$E123*K$35)-K$36-MAX(0,($D123*$E123*K$35)-K$36-$B123/Assumptions!$B$31)*Assumptions!$B$33))</f>
        <v>5.3390993718749984</v>
      </c>
      <c r="L123" s="105">
        <f>IF(L$34=0,-$B123,IF(L$34&gt;Assumptions!$B$20,0,($D123*$E123*L$35)-L$36-MAX(0,($D123*$E123*L$35)-L$36-$B123/Assumptions!$B$31)*Assumptions!$B$33))</f>
        <v>5.3923185224531229</v>
      </c>
      <c r="M123" s="105">
        <f>IF(M$34=0,-$B123,IF(M$34&gt;Assumptions!$B$20,0,($D123*$E123*M$35)-M$36-MAX(0,($D123*$E123*M$35)-M$36-$B123/Assumptions!$B$31)*Assumptions!$B$33))</f>
        <v>5.4459349400899191</v>
      </c>
      <c r="N123" s="105">
        <f>IF(N$34=0,-$B123,IF(N$34&gt;Assumptions!$B$20,0,($D123*$E123*N$35)-N$36-MAX(0,($D123*$E123*N$35)-N$36-$B123/Assumptions!$B$31)*Assumptions!$B$33))</f>
        <v>5.4999425531852673</v>
      </c>
      <c r="O123" s="105">
        <f>IF(O$34=0,-$B123,IF(O$34&gt;Assumptions!$B$20,0,($D123*$E123*O$35)-O$36-MAX(0,($D123*$E123*O$35)-O$36-$B123/Assumptions!$B$31)*Assumptions!$B$33))</f>
        <v>5.5543348381468656</v>
      </c>
      <c r="P123" s="105">
        <f>IF(P$34=0,-$B123,IF(P$34&gt;Assumptions!$B$20,0,($D123*$E123*P$35)-P$36-MAX(0,($D123*$E123*P$35)-P$36-$B123/Assumptions!$B$31)*Assumptions!$B$33))</f>
        <v>5.6091048017828022</v>
      </c>
      <c r="Q123" s="105">
        <f>IF(Q$34=0,-$B123,IF(Q$34&gt;Assumptions!$B$20,0,($D123*$E123*Q$35)-Q$36-MAX(0,($D123*$E123*Q$35)-Q$36-$B123/Assumptions!$B$31)*Assumptions!$B$33))</f>
        <v>5.6642449631051903</v>
      </c>
      <c r="R123" s="105">
        <f>IF(R$34=0,-$B123,IF(R$34&gt;Assumptions!$B$20,0,($D123*$E123*R$35)-R$36-MAX(0,($D123*$E123*R$35)-R$36-$B123/Assumptions!$B$31)*Assumptions!$B$33))</f>
        <v>5.7197473345262839</v>
      </c>
      <c r="S123" s="105">
        <f>IF(S$34=0,-$B123,IF(S$34&gt;Assumptions!$B$20,0,($D123*$E123*S$35)-S$36-MAX(0,($D123*$E123*S$35)-S$36-$B123/Assumptions!$B$31)*Assumptions!$B$33))</f>
        <v>5.7756034024279286</v>
      </c>
      <c r="T123" s="105">
        <f>IF(T$34=0,-$B123,IF(T$34&gt;Assumptions!$B$20,0,($D123*$E123*T$35)-T$36-MAX(0,($D123*$E123*T$35)-T$36-$B123/Assumptions!$B$31)*Assumptions!$B$33))</f>
        <v>5.8318041070846105</v>
      </c>
      <c r="U123" s="105">
        <f>IF(U$34=0,-$B123,IF(U$34&gt;Assumptions!$B$20,0,($D123*$E123*U$35)-U$36-MAX(0,($D123*$E123*U$35)-U$36-$B123/Assumptions!$B$31)*Assumptions!$B$33))</f>
        <v>5.8883398219197511</v>
      </c>
      <c r="V123" s="105">
        <f>IF(V$34=0,-$B123,IF(V$34&gt;Assumptions!$B$20,0,($D123*$E123*V$35)-V$36-MAX(0,($D123*$E123*V$35)-V$36-$B123/Assumptions!$B$31)*Assumptions!$B$33))</f>
        <v>5.9452003320742843</v>
      </c>
      <c r="W123" s="105">
        <f>IF(W$34=0,-$B123,IF(W$34&gt;Assumptions!$B$20,0,($D123*$E123*W$35)-W$36-MAX(0,($D123*$E123*W$35)-W$36-$B123/Assumptions!$B$31)*Assumptions!$B$33))</f>
        <v>6.0023748122659066</v>
      </c>
      <c r="X123" s="105">
        <f>IF(X$34=0,-$B123,IF(X$34&gt;Assumptions!$B$20,0,($D123*$E123*X$35)-X$36-MAX(0,($D123*$E123*X$35)-X$36-$B123/Assumptions!$B$31)*Assumptions!$B$33))</f>
        <v>6.05985180391672</v>
      </c>
      <c r="Y123" s="105">
        <f>IF(Y$34=0,-$B123,IF(Y$34&gt;Assumptions!$B$20,0,($D123*$E123*Y$35)-Y$36-MAX(0,($D123*$E123*Y$35)-Y$36-$B123/Assumptions!$B$31)*Assumptions!$B$33))</f>
        <v>6.117619191526301</v>
      </c>
      <c r="Z123" s="105">
        <f>IF(Z$34=0,-$B123,IF(Z$34&gt;Assumptions!$B$20,0,($D123*$E123*Z$35)-Z$36-MAX(0,($D123*$E123*Z$35)-Z$36-$B123/Assumptions!$B$31)*Assumptions!$B$33))</f>
        <v>6.1756641782665511</v>
      </c>
      <c r="AA123" s="105">
        <f>IF(AA$34=0,-$B123,IF(AA$34&gt;Assumptions!$B$20,0,($D123*$E123*AA$35)-AA$36-MAX(0,($D123*$E123*AA$35)-AA$36-$B123/Assumptions!$B$31)*Assumptions!$B$33))</f>
        <v>6.2339732607739249</v>
      </c>
      <c r="AB123" s="105">
        <f>IF(AB$34=0,-$B123,IF(AB$34&gt;Assumptions!$B$20,0,($D123*$E123*AB$35)-AB$36-MAX(0,($D123*$E123*AB$35)-AB$36-$B123/Assumptions!$B$31)*Assumptions!$B$33))</f>
        <v>6.2925322031139093</v>
      </c>
    </row>
    <row r="124" spans="1:28" outlineLevel="1" x14ac:dyDescent="0.3">
      <c r="A124" s="100">
        <f t="shared" si="9"/>
        <v>33</v>
      </c>
      <c r="B124" s="102" cm="1">
        <f t="array" ref="B124">INDEX($M$11:$S$11,MOD(ROW()-92,7)+1)</f>
        <v>65</v>
      </c>
      <c r="C124" s="101" cm="1">
        <f t="array" ref="C124">INDEX($L$12:$L$18,ROUNDUP((ROW()-91)/7,0))</f>
        <v>0.22500000000000003</v>
      </c>
      <c r="D124" s="102">
        <f>Assumptions!$B$10*$C124</f>
        <v>98.550000000000011</v>
      </c>
      <c r="E124" s="103">
        <f>Assumptions!$B$23</f>
        <v>7.4999999999999997E-2</v>
      </c>
      <c r="F124" s="101">
        <f t="shared" si="10"/>
        <v>6.1172778202107203E-2</v>
      </c>
      <c r="H124" s="105">
        <f>IF(H$34=0,-$B124,IF(H$34&gt;Assumptions!$B$20,0,($D124*$E124*H$35)-H$36-MAX(0,($D124*$E124*H$35)-H$36-$B124/Assumptions!$B$31)*Assumptions!$B$33))</f>
        <v>-65</v>
      </c>
      <c r="I124" s="105">
        <f>IF(I$34=0,-$B124,IF(I$34&gt;Assumptions!$B$20,0,($D124*$E124*I$35)-I$36-MAX(0,($D124*$E124*I$35)-I$36-$B124/Assumptions!$B$31)*Assumptions!$B$33))</f>
        <v>5.3088750000000005</v>
      </c>
      <c r="J124" s="105">
        <f>IF(J$34=0,-$B124,IF(J$34&gt;Assumptions!$B$20,0,($D124*$E124*J$35)-J$36-MAX(0,($D124*$E124*J$35)-J$36-$B124/Assumptions!$B$31)*Assumptions!$B$33))</f>
        <v>5.3612831249999999</v>
      </c>
      <c r="K124" s="105">
        <f>IF(K$34=0,-$B124,IF(K$34&gt;Assumptions!$B$20,0,($D124*$E124*K$35)-K$36-MAX(0,($D124*$E124*K$35)-K$36-$B124/Assumptions!$B$31)*Assumptions!$B$33))</f>
        <v>5.4140993718749986</v>
      </c>
      <c r="L124" s="105">
        <f>IF(L$34=0,-$B124,IF(L$34&gt;Assumptions!$B$20,0,($D124*$E124*L$35)-L$36-MAX(0,($D124*$E124*L$35)-L$36-$B124/Assumptions!$B$31)*Assumptions!$B$33))</f>
        <v>5.4673185224531231</v>
      </c>
      <c r="M124" s="105">
        <f>IF(M$34=0,-$B124,IF(M$34&gt;Assumptions!$B$20,0,($D124*$E124*M$35)-M$36-MAX(0,($D124*$E124*M$35)-M$36-$B124/Assumptions!$B$31)*Assumptions!$B$33))</f>
        <v>5.5209349400899193</v>
      </c>
      <c r="N124" s="105">
        <f>IF(N$34=0,-$B124,IF(N$34&gt;Assumptions!$B$20,0,($D124*$E124*N$35)-N$36-MAX(0,($D124*$E124*N$35)-N$36-$B124/Assumptions!$B$31)*Assumptions!$B$33))</f>
        <v>5.5749425531852674</v>
      </c>
      <c r="O124" s="105">
        <f>IF(O$34=0,-$B124,IF(O$34&gt;Assumptions!$B$20,0,($D124*$E124*O$35)-O$36-MAX(0,($D124*$E124*O$35)-O$36-$B124/Assumptions!$B$31)*Assumptions!$B$33))</f>
        <v>5.6293348381468657</v>
      </c>
      <c r="P124" s="105">
        <f>IF(P$34=0,-$B124,IF(P$34&gt;Assumptions!$B$20,0,($D124*$E124*P$35)-P$36-MAX(0,($D124*$E124*P$35)-P$36-$B124/Assumptions!$B$31)*Assumptions!$B$33))</f>
        <v>5.6841048017828024</v>
      </c>
      <c r="Q124" s="105">
        <f>IF(Q$34=0,-$B124,IF(Q$34&gt;Assumptions!$B$20,0,($D124*$E124*Q$35)-Q$36-MAX(0,($D124*$E124*Q$35)-Q$36-$B124/Assumptions!$B$31)*Assumptions!$B$33))</f>
        <v>5.7392449631051905</v>
      </c>
      <c r="R124" s="105">
        <f>IF(R$34=0,-$B124,IF(R$34&gt;Assumptions!$B$20,0,($D124*$E124*R$35)-R$36-MAX(0,($D124*$E124*R$35)-R$36-$B124/Assumptions!$B$31)*Assumptions!$B$33))</f>
        <v>5.7947473345262841</v>
      </c>
      <c r="S124" s="105">
        <f>IF(S$34=0,-$B124,IF(S$34&gt;Assumptions!$B$20,0,($D124*$E124*S$35)-S$36-MAX(0,($D124*$E124*S$35)-S$36-$B124/Assumptions!$B$31)*Assumptions!$B$33))</f>
        <v>5.8506034024279288</v>
      </c>
      <c r="T124" s="105">
        <f>IF(T$34=0,-$B124,IF(T$34&gt;Assumptions!$B$20,0,($D124*$E124*T$35)-T$36-MAX(0,($D124*$E124*T$35)-T$36-$B124/Assumptions!$B$31)*Assumptions!$B$33))</f>
        <v>5.9068041070846107</v>
      </c>
      <c r="U124" s="105">
        <f>IF(U$34=0,-$B124,IF(U$34&gt;Assumptions!$B$20,0,($D124*$E124*U$35)-U$36-MAX(0,($D124*$E124*U$35)-U$36-$B124/Assumptions!$B$31)*Assumptions!$B$33))</f>
        <v>5.9633398219197513</v>
      </c>
      <c r="V124" s="105">
        <f>IF(V$34=0,-$B124,IF(V$34&gt;Assumptions!$B$20,0,($D124*$E124*V$35)-V$36-MAX(0,($D124*$E124*V$35)-V$36-$B124/Assumptions!$B$31)*Assumptions!$B$33))</f>
        <v>6.0202003320742845</v>
      </c>
      <c r="W124" s="105">
        <f>IF(W$34=0,-$B124,IF(W$34&gt;Assumptions!$B$20,0,($D124*$E124*W$35)-W$36-MAX(0,($D124*$E124*W$35)-W$36-$B124/Assumptions!$B$31)*Assumptions!$B$33))</f>
        <v>6.0773748122659068</v>
      </c>
      <c r="X124" s="105">
        <f>IF(X$34=0,-$B124,IF(X$34&gt;Assumptions!$B$20,0,($D124*$E124*X$35)-X$36-MAX(0,($D124*$E124*X$35)-X$36-$B124/Assumptions!$B$31)*Assumptions!$B$33))</f>
        <v>6.1348518039167201</v>
      </c>
      <c r="Y124" s="105">
        <f>IF(Y$34=0,-$B124,IF(Y$34&gt;Assumptions!$B$20,0,($D124*$E124*Y$35)-Y$36-MAX(0,($D124*$E124*Y$35)-Y$36-$B124/Assumptions!$B$31)*Assumptions!$B$33))</f>
        <v>6.1926191915263011</v>
      </c>
      <c r="Z124" s="105">
        <f>IF(Z$34=0,-$B124,IF(Z$34&gt;Assumptions!$B$20,0,($D124*$E124*Z$35)-Z$36-MAX(0,($D124*$E124*Z$35)-Z$36-$B124/Assumptions!$B$31)*Assumptions!$B$33))</f>
        <v>6.2506641782665504</v>
      </c>
      <c r="AA124" s="105">
        <f>IF(AA$34=0,-$B124,IF(AA$34&gt;Assumptions!$B$20,0,($D124*$E124*AA$35)-AA$36-MAX(0,($D124*$E124*AA$35)-AA$36-$B124/Assumptions!$B$31)*Assumptions!$B$33))</f>
        <v>6.3089732607739251</v>
      </c>
      <c r="AB124" s="105">
        <f>IF(AB$34=0,-$B124,IF(AB$34&gt;Assumptions!$B$20,0,($D124*$E124*AB$35)-AB$36-MAX(0,($D124*$E124*AB$35)-AB$36-$B124/Assumptions!$B$31)*Assumptions!$B$33))</f>
        <v>6.3675322031139094</v>
      </c>
    </row>
    <row r="125" spans="1:28" outlineLevel="1" x14ac:dyDescent="0.3">
      <c r="A125" s="100">
        <f t="shared" si="9"/>
        <v>34</v>
      </c>
      <c r="B125" s="102" cm="1">
        <f t="array" ref="B125">INDEX($M$11:$S$11,MOD(ROW()-92,7)+1)</f>
        <v>70</v>
      </c>
      <c r="C125" s="101" cm="1">
        <f t="array" ref="C125">INDEX($L$12:$L$18,ROUNDUP((ROW()-91)/7,0))</f>
        <v>0.22500000000000003</v>
      </c>
      <c r="D125" s="102">
        <f>Assumptions!$B$10*$C125</f>
        <v>98.550000000000011</v>
      </c>
      <c r="E125" s="103">
        <f>Assumptions!$B$23</f>
        <v>7.4999999999999997E-2</v>
      </c>
      <c r="F125" s="101">
        <f t="shared" si="10"/>
        <v>5.3975739947016876E-2</v>
      </c>
      <c r="H125" s="105">
        <f>IF(H$34=0,-$B125,IF(H$34&gt;Assumptions!$B$20,0,($D125*$E125*H$35)-H$36-MAX(0,($D125*$E125*H$35)-H$36-$B125/Assumptions!$B$31)*Assumptions!$B$33))</f>
        <v>-70</v>
      </c>
      <c r="I125" s="105">
        <f>IF(I$34=0,-$B125,IF(I$34&gt;Assumptions!$B$20,0,($D125*$E125*I$35)-I$36-MAX(0,($D125*$E125*I$35)-I$36-$B125/Assumptions!$B$31)*Assumptions!$B$33))</f>
        <v>5.3838749999999997</v>
      </c>
      <c r="J125" s="105">
        <f>IF(J$34=0,-$B125,IF(J$34&gt;Assumptions!$B$20,0,($D125*$E125*J$35)-J$36-MAX(0,($D125*$E125*J$35)-J$36-$B125/Assumptions!$B$31)*Assumptions!$B$33))</f>
        <v>5.4362831249999992</v>
      </c>
      <c r="K125" s="105">
        <f>IF(K$34=0,-$B125,IF(K$34&gt;Assumptions!$B$20,0,($D125*$E125*K$35)-K$36-MAX(0,($D125*$E125*K$35)-K$36-$B125/Assumptions!$B$31)*Assumptions!$B$33))</f>
        <v>5.4890993718749987</v>
      </c>
      <c r="L125" s="105">
        <f>IF(L$34=0,-$B125,IF(L$34&gt;Assumptions!$B$20,0,($D125*$E125*L$35)-L$36-MAX(0,($D125*$E125*L$35)-L$36-$B125/Assumptions!$B$31)*Assumptions!$B$33))</f>
        <v>5.5423185224531233</v>
      </c>
      <c r="M125" s="105">
        <f>IF(M$34=0,-$B125,IF(M$34&gt;Assumptions!$B$20,0,($D125*$E125*M$35)-M$36-MAX(0,($D125*$E125*M$35)-M$36-$B125/Assumptions!$B$31)*Assumptions!$B$33))</f>
        <v>5.5959349400899185</v>
      </c>
      <c r="N125" s="105">
        <f>IF(N$34=0,-$B125,IF(N$34&gt;Assumptions!$B$20,0,($D125*$E125*N$35)-N$36-MAX(0,($D125*$E125*N$35)-N$36-$B125/Assumptions!$B$31)*Assumptions!$B$33))</f>
        <v>5.6499425531852676</v>
      </c>
      <c r="O125" s="105">
        <f>IF(O$34=0,-$B125,IF(O$34&gt;Assumptions!$B$20,0,($D125*$E125*O$35)-O$36-MAX(0,($D125*$E125*O$35)-O$36-$B125/Assumptions!$B$31)*Assumptions!$B$33))</f>
        <v>5.7043348381468659</v>
      </c>
      <c r="P125" s="105">
        <f>IF(P$34=0,-$B125,IF(P$34&gt;Assumptions!$B$20,0,($D125*$E125*P$35)-P$36-MAX(0,($D125*$E125*P$35)-P$36-$B125/Assumptions!$B$31)*Assumptions!$B$33))</f>
        <v>5.7591048017828026</v>
      </c>
      <c r="Q125" s="105">
        <f>IF(Q$34=0,-$B125,IF(Q$34&gt;Assumptions!$B$20,0,($D125*$E125*Q$35)-Q$36-MAX(0,($D125*$E125*Q$35)-Q$36-$B125/Assumptions!$B$31)*Assumptions!$B$33))</f>
        <v>5.8142449631051907</v>
      </c>
      <c r="R125" s="105">
        <f>IF(R$34=0,-$B125,IF(R$34&gt;Assumptions!$B$20,0,($D125*$E125*R$35)-R$36-MAX(0,($D125*$E125*R$35)-R$36-$B125/Assumptions!$B$31)*Assumptions!$B$33))</f>
        <v>5.8697473345262843</v>
      </c>
      <c r="S125" s="105">
        <f>IF(S$34=0,-$B125,IF(S$34&gt;Assumptions!$B$20,0,($D125*$E125*S$35)-S$36-MAX(0,($D125*$E125*S$35)-S$36-$B125/Assumptions!$B$31)*Assumptions!$B$33))</f>
        <v>5.925603402427928</v>
      </c>
      <c r="T125" s="105">
        <f>IF(T$34=0,-$B125,IF(T$34&gt;Assumptions!$B$20,0,($D125*$E125*T$35)-T$36-MAX(0,($D125*$E125*T$35)-T$36-$B125/Assumptions!$B$31)*Assumptions!$B$33))</f>
        <v>5.98180410708461</v>
      </c>
      <c r="U125" s="105">
        <f>IF(U$34=0,-$B125,IF(U$34&gt;Assumptions!$B$20,0,($D125*$E125*U$35)-U$36-MAX(0,($D125*$E125*U$35)-U$36-$B125/Assumptions!$B$31)*Assumptions!$B$33))</f>
        <v>6.0383398219197515</v>
      </c>
      <c r="V125" s="105">
        <f>IF(V$34=0,-$B125,IF(V$34&gt;Assumptions!$B$20,0,($D125*$E125*V$35)-V$36-MAX(0,($D125*$E125*V$35)-V$36-$B125/Assumptions!$B$31)*Assumptions!$B$33))</f>
        <v>6.0952003320742847</v>
      </c>
      <c r="W125" s="105">
        <f>IF(W$34=0,-$B125,IF(W$34&gt;Assumptions!$B$20,0,($D125*$E125*W$35)-W$36-MAX(0,($D125*$E125*W$35)-W$36-$B125/Assumptions!$B$31)*Assumptions!$B$33))</f>
        <v>6.152374812265907</v>
      </c>
      <c r="X125" s="105">
        <f>IF(X$34=0,-$B125,IF(X$34&gt;Assumptions!$B$20,0,($D125*$E125*X$35)-X$36-MAX(0,($D125*$E125*X$35)-X$36-$B125/Assumptions!$B$31)*Assumptions!$B$33))</f>
        <v>6.2098518039167203</v>
      </c>
      <c r="Y125" s="105">
        <f>IF(Y$34=0,-$B125,IF(Y$34&gt;Assumptions!$B$20,0,($D125*$E125*Y$35)-Y$36-MAX(0,($D125*$E125*Y$35)-Y$36-$B125/Assumptions!$B$31)*Assumptions!$B$33))</f>
        <v>6.2676191915263013</v>
      </c>
      <c r="Z125" s="105">
        <f>IF(Z$34=0,-$B125,IF(Z$34&gt;Assumptions!$B$20,0,($D125*$E125*Z$35)-Z$36-MAX(0,($D125*$E125*Z$35)-Z$36-$B125/Assumptions!$B$31)*Assumptions!$B$33))</f>
        <v>6.3256641782665506</v>
      </c>
      <c r="AA125" s="105">
        <f>IF(AA$34=0,-$B125,IF(AA$34&gt;Assumptions!$B$20,0,($D125*$E125*AA$35)-AA$36-MAX(0,($D125*$E125*AA$35)-AA$36-$B125/Assumptions!$B$31)*Assumptions!$B$33))</f>
        <v>6.3839732607739244</v>
      </c>
      <c r="AB125" s="105">
        <f>IF(AB$34=0,-$B125,IF(AB$34&gt;Assumptions!$B$20,0,($D125*$E125*AB$35)-AB$36-MAX(0,($D125*$E125*AB$35)-AB$36-$B125/Assumptions!$B$31)*Assumptions!$B$33))</f>
        <v>6.4425322031139096</v>
      </c>
    </row>
    <row r="126" spans="1:28" outlineLevel="1" x14ac:dyDescent="0.3">
      <c r="A126" s="100">
        <f t="shared" si="9"/>
        <v>35</v>
      </c>
      <c r="B126" s="102" cm="1">
        <f t="array" ref="B126">INDEX($M$11:$S$11,MOD(ROW()-92,7)+1)</f>
        <v>75</v>
      </c>
      <c r="C126" s="101" cm="1">
        <f t="array" ref="C126">INDEX($L$12:$L$18,ROUNDUP((ROW()-91)/7,0))</f>
        <v>0.22500000000000003</v>
      </c>
      <c r="D126" s="102">
        <f>Assumptions!$B$10*$C126</f>
        <v>98.550000000000011</v>
      </c>
      <c r="E126" s="103">
        <f>Assumptions!$B$23</f>
        <v>7.4999999999999997E-2</v>
      </c>
      <c r="F126" s="101">
        <f t="shared" si="10"/>
        <v>4.7546641963645442E-2</v>
      </c>
      <c r="H126" s="105">
        <f>IF(H$34=0,-$B126,IF(H$34&gt;Assumptions!$B$20,0,($D126*$E126*H$35)-H$36-MAX(0,($D126*$E126*H$35)-H$36-$B126/Assumptions!$B$31)*Assumptions!$B$33))</f>
        <v>-75</v>
      </c>
      <c r="I126" s="105">
        <f>IF(I$34=0,-$B126,IF(I$34&gt;Assumptions!$B$20,0,($D126*$E126*I$35)-I$36-MAX(0,($D126*$E126*I$35)-I$36-$B126/Assumptions!$B$31)*Assumptions!$B$33))</f>
        <v>5.4588749999999999</v>
      </c>
      <c r="J126" s="105">
        <f>IF(J$34=0,-$B126,IF(J$34&gt;Assumptions!$B$20,0,($D126*$E126*J$35)-J$36-MAX(0,($D126*$E126*J$35)-J$36-$B126/Assumptions!$B$31)*Assumptions!$B$33))</f>
        <v>5.5112831249999994</v>
      </c>
      <c r="K126" s="105">
        <f>IF(K$34=0,-$B126,IF(K$34&gt;Assumptions!$B$20,0,($D126*$E126*K$35)-K$36-MAX(0,($D126*$E126*K$35)-K$36-$B126/Assumptions!$B$31)*Assumptions!$B$33))</f>
        <v>5.564099371874998</v>
      </c>
      <c r="L126" s="105">
        <f>IF(L$34=0,-$B126,IF(L$34&gt;Assumptions!$B$20,0,($D126*$E126*L$35)-L$36-MAX(0,($D126*$E126*L$35)-L$36-$B126/Assumptions!$B$31)*Assumptions!$B$33))</f>
        <v>5.6173185224531235</v>
      </c>
      <c r="M126" s="105">
        <f>IF(M$34=0,-$B126,IF(M$34&gt;Assumptions!$B$20,0,($D126*$E126*M$35)-M$36-MAX(0,($D126*$E126*M$35)-M$36-$B126/Assumptions!$B$31)*Assumptions!$B$33))</f>
        <v>5.6709349400899187</v>
      </c>
      <c r="N126" s="105">
        <f>IF(N$34=0,-$B126,IF(N$34&gt;Assumptions!$B$20,0,($D126*$E126*N$35)-N$36-MAX(0,($D126*$E126*N$35)-N$36-$B126/Assumptions!$B$31)*Assumptions!$B$33))</f>
        <v>5.7249425531852678</v>
      </c>
      <c r="O126" s="105">
        <f>IF(O$34=0,-$B126,IF(O$34&gt;Assumptions!$B$20,0,($D126*$E126*O$35)-O$36-MAX(0,($D126*$E126*O$35)-O$36-$B126/Assumptions!$B$31)*Assumptions!$B$33))</f>
        <v>5.7793348381468661</v>
      </c>
      <c r="P126" s="105">
        <f>IF(P$34=0,-$B126,IF(P$34&gt;Assumptions!$B$20,0,($D126*$E126*P$35)-P$36-MAX(0,($D126*$E126*P$35)-P$36-$B126/Assumptions!$B$31)*Assumptions!$B$33))</f>
        <v>5.8341048017828019</v>
      </c>
      <c r="Q126" s="105">
        <f>IF(Q$34=0,-$B126,IF(Q$34&gt;Assumptions!$B$20,0,($D126*$E126*Q$35)-Q$36-MAX(0,($D126*$E126*Q$35)-Q$36-$B126/Assumptions!$B$31)*Assumptions!$B$33))</f>
        <v>5.8892449631051909</v>
      </c>
      <c r="R126" s="105">
        <f>IF(R$34=0,-$B126,IF(R$34&gt;Assumptions!$B$20,0,($D126*$E126*R$35)-R$36-MAX(0,($D126*$E126*R$35)-R$36-$B126/Assumptions!$B$31)*Assumptions!$B$33))</f>
        <v>5.9447473345262836</v>
      </c>
      <c r="S126" s="105">
        <f>IF(S$34=0,-$B126,IF(S$34&gt;Assumptions!$B$20,0,($D126*$E126*S$35)-S$36-MAX(0,($D126*$E126*S$35)-S$36-$B126/Assumptions!$B$31)*Assumptions!$B$33))</f>
        <v>6.0006034024279282</v>
      </c>
      <c r="T126" s="105">
        <f>IF(T$34=0,-$B126,IF(T$34&gt;Assumptions!$B$20,0,($D126*$E126*T$35)-T$36-MAX(0,($D126*$E126*T$35)-T$36-$B126/Assumptions!$B$31)*Assumptions!$B$33))</f>
        <v>6.0568041070846101</v>
      </c>
      <c r="U126" s="105">
        <f>IF(U$34=0,-$B126,IF(U$34&gt;Assumptions!$B$20,0,($D126*$E126*U$35)-U$36-MAX(0,($D126*$E126*U$35)-U$36-$B126/Assumptions!$B$31)*Assumptions!$B$33))</f>
        <v>6.1133398219197517</v>
      </c>
      <c r="V126" s="105">
        <f>IF(V$34=0,-$B126,IF(V$34&gt;Assumptions!$B$20,0,($D126*$E126*V$35)-V$36-MAX(0,($D126*$E126*V$35)-V$36-$B126/Assumptions!$B$31)*Assumptions!$B$33))</f>
        <v>6.1702003320742849</v>
      </c>
      <c r="W126" s="105">
        <f>IF(W$34=0,-$B126,IF(W$34&gt;Assumptions!$B$20,0,($D126*$E126*W$35)-W$36-MAX(0,($D126*$E126*W$35)-W$36-$B126/Assumptions!$B$31)*Assumptions!$B$33))</f>
        <v>6.2273748122659072</v>
      </c>
      <c r="X126" s="105">
        <f>IF(X$34=0,-$B126,IF(X$34&gt;Assumptions!$B$20,0,($D126*$E126*X$35)-X$36-MAX(0,($D126*$E126*X$35)-X$36-$B126/Assumptions!$B$31)*Assumptions!$B$33))</f>
        <v>6.2848518039167205</v>
      </c>
      <c r="Y126" s="105">
        <f>IF(Y$34=0,-$B126,IF(Y$34&gt;Assumptions!$B$20,0,($D126*$E126*Y$35)-Y$36-MAX(0,($D126*$E126*Y$35)-Y$36-$B126/Assumptions!$B$31)*Assumptions!$B$33))</f>
        <v>6.3426191915263015</v>
      </c>
      <c r="Z126" s="105">
        <f>IF(Z$34=0,-$B126,IF(Z$34&gt;Assumptions!$B$20,0,($D126*$E126*Z$35)-Z$36-MAX(0,($D126*$E126*Z$35)-Z$36-$B126/Assumptions!$B$31)*Assumptions!$B$33))</f>
        <v>6.4006641782665508</v>
      </c>
      <c r="AA126" s="105">
        <f>IF(AA$34=0,-$B126,IF(AA$34&gt;Assumptions!$B$20,0,($D126*$E126*AA$35)-AA$36-MAX(0,($D126*$E126*AA$35)-AA$36-$B126/Assumptions!$B$31)*Assumptions!$B$33))</f>
        <v>6.4589732607739245</v>
      </c>
      <c r="AB126" s="105">
        <f>IF(AB$34=0,-$B126,IF(AB$34&gt;Assumptions!$B$20,0,($D126*$E126*AB$35)-AB$36-MAX(0,($D126*$E126*AB$35)-AB$36-$B126/Assumptions!$B$31)*Assumptions!$B$33))</f>
        <v>6.5175322031139089</v>
      </c>
    </row>
    <row r="127" spans="1:28" outlineLevel="1" x14ac:dyDescent="0.3">
      <c r="A127" s="100">
        <f t="shared" si="9"/>
        <v>36</v>
      </c>
      <c r="B127" s="102" cm="1">
        <f t="array" ref="B127">INDEX($M$11:$S$11,MOD(ROW()-92,7)+1)</f>
        <v>45</v>
      </c>
      <c r="C127" s="101" cm="1">
        <f t="array" ref="C127">INDEX($L$12:$L$18,ROUNDUP((ROW()-91)/7,0))</f>
        <v>0.24000000000000005</v>
      </c>
      <c r="D127" s="102">
        <f>Assumptions!$B$10*$C127</f>
        <v>105.12000000000002</v>
      </c>
      <c r="E127" s="103">
        <f>Assumptions!$B$23</f>
        <v>7.4999999999999997E-2</v>
      </c>
      <c r="F127" s="101">
        <f t="shared" si="10"/>
        <v>0.11200599883106377</v>
      </c>
      <c r="H127" s="105">
        <f>IF(H$34=0,-$B127,IF(H$34&gt;Assumptions!$B$20,0,($D127*$E127*H$35)-H$36-MAX(0,($D127*$E127*H$35)-H$36-$B127/Assumptions!$B$31)*Assumptions!$B$33))</f>
        <v>-45</v>
      </c>
      <c r="I127" s="105">
        <f>IF(I$34=0,-$B127,IF(I$34&gt;Assumptions!$B$20,0,($D127*$E127*I$35)-I$36-MAX(0,($D127*$E127*I$35)-I$36-$B127/Assumptions!$B$31)*Assumptions!$B$33))</f>
        <v>5.3538000000000006</v>
      </c>
      <c r="J127" s="105">
        <f>IF(J$34=0,-$B127,IF(J$34&gt;Assumptions!$B$20,0,($D127*$E127*J$35)-J$36-MAX(0,($D127*$E127*J$35)-J$36-$B127/Assumptions!$B$31)*Assumptions!$B$33))</f>
        <v>5.4113819999999997</v>
      </c>
      <c r="K127" s="105">
        <f>IF(K$34=0,-$B127,IF(K$34&gt;Assumptions!$B$20,0,($D127*$E127*K$35)-K$36-MAX(0,($D127*$E127*K$35)-K$36-$B127/Assumptions!$B$31)*Assumptions!$B$33))</f>
        <v>5.4694497299999991</v>
      </c>
      <c r="L127" s="105">
        <f>IF(L$34=0,-$B127,IF(L$34&gt;Assumptions!$B$20,0,($D127*$E127*L$35)-L$36-MAX(0,($D127*$E127*L$35)-L$36-$B127/Assumptions!$B$31)*Assumptions!$B$33))</f>
        <v>5.5279991359499991</v>
      </c>
      <c r="M127" s="105">
        <f>IF(M$34=0,-$B127,IF(M$34&gt;Assumptions!$B$20,0,($D127*$E127*M$35)-M$36-MAX(0,($D127*$E127*M$35)-M$36-$B127/Assumptions!$B$31)*Assumptions!$B$33))</f>
        <v>5.5870257627892483</v>
      </c>
      <c r="N127" s="105">
        <f>IF(N$34=0,-$B127,IF(N$34&gt;Assumptions!$B$20,0,($D127*$E127*N$35)-N$36-MAX(0,($D127*$E127*N$35)-N$36-$B127/Assumptions!$B$31)*Assumptions!$B$33))</f>
        <v>5.6465247382250858</v>
      </c>
      <c r="O127" s="105">
        <f>IF(O$34=0,-$B127,IF(O$34&gt;Assumptions!$B$20,0,($D127*$E127*O$35)-O$36-MAX(0,($D127*$E127*O$35)-O$36-$B127/Assumptions!$B$31)*Assumptions!$B$33))</f>
        <v>5.7064907559622799</v>
      </c>
      <c r="P127" s="105">
        <f>IF(P$34=0,-$B127,IF(P$34&gt;Assumptions!$B$20,0,($D127*$E127*P$35)-P$36-MAX(0,($D127*$E127*P$35)-P$36-$B127/Assumptions!$B$31)*Assumptions!$B$33))</f>
        <v>5.766918058365448</v>
      </c>
      <c r="Q127" s="105">
        <f>IF(Q$34=0,-$B127,IF(Q$34&gt;Assumptions!$B$20,0,($D127*$E127*Q$35)-Q$36-MAX(0,($D127*$E127*Q$35)-Q$36-$B127/Assumptions!$B$31)*Assumptions!$B$33))</f>
        <v>5.8278004185365768</v>
      </c>
      <c r="R127" s="105">
        <f>IF(R$34=0,-$B127,IF(R$34&gt;Assumptions!$B$20,0,($D127*$E127*R$35)-R$36-MAX(0,($D127*$E127*R$35)-R$36-$B127/Assumptions!$B$31)*Assumptions!$B$33))</f>
        <v>5.8891311217891413</v>
      </c>
      <c r="S127" s="105">
        <f>IF(S$34=0,-$B127,IF(S$34&gt;Assumptions!$B$20,0,($D127*$E127*S$35)-S$36-MAX(0,($D127*$E127*S$35)-S$36-$B127/Assumptions!$B$31)*Assumptions!$B$33))</f>
        <v>5.9509029464997285</v>
      </c>
      <c r="T127" s="105">
        <f>IF(T$34=0,-$B127,IF(T$34&gt;Assumptions!$B$20,0,($D127*$E127*T$35)-T$36-MAX(0,($D127*$E127*T$35)-T$36-$B127/Assumptions!$B$31)*Assumptions!$B$33))</f>
        <v>6.0131081443174876</v>
      </c>
      <c r="U127" s="105">
        <f>IF(U$34=0,-$B127,IF(U$34&gt;Assumptions!$B$20,0,($D127*$E127*U$35)-U$36-MAX(0,($D127*$E127*U$35)-U$36-$B127/Assumptions!$B$31)*Assumptions!$B$33))</f>
        <v>6.0757384197111204</v>
      </c>
      <c r="V127" s="105">
        <f>IF(V$34=0,-$B127,IF(V$34&gt;Assumptions!$B$20,0,($D127*$E127*V$35)-V$36-MAX(0,($D127*$E127*V$35)-V$36-$B127/Assumptions!$B$31)*Assumptions!$B$33))</f>
        <v>6.138784908832525</v>
      </c>
      <c r="W127" s="105">
        <f>IF(W$34=0,-$B127,IF(W$34&gt;Assumptions!$B$20,0,($D127*$E127*W$35)-W$36-MAX(0,($D127*$E127*W$35)-W$36-$B127/Assumptions!$B$31)*Assumptions!$B$33))</f>
        <v>6.2022381576755219</v>
      </c>
      <c r="X127" s="105">
        <f>IF(X$34=0,-$B127,IF(X$34&gt;Assumptions!$B$20,0,($D127*$E127*X$35)-X$36-MAX(0,($D127*$E127*X$35)-X$36-$B127/Assumptions!$B$31)*Assumptions!$B$33))</f>
        <v>6.2660880995074795</v>
      </c>
      <c r="Y127" s="105">
        <f>IF(Y$34=0,-$B127,IF(Y$34&gt;Assumptions!$B$20,0,($D127*$E127*Y$35)-Y$36-MAX(0,($D127*$E127*Y$35)-Y$36-$B127/Assumptions!$B$31)*Assumptions!$B$33))</f>
        <v>6.330324031550921</v>
      </c>
      <c r="Z127" s="105">
        <f>IF(Z$34=0,-$B127,IF(Z$34&gt;Assumptions!$B$20,0,($D127*$E127*Z$35)-Z$36-MAX(0,($D127*$E127*Z$35)-Z$36-$B127/Assumptions!$B$31)*Assumptions!$B$33))</f>
        <v>6.3949345908915394</v>
      </c>
      <c r="AA127" s="105">
        <f>IF(AA$34=0,-$B127,IF(AA$34&gt;Assumptions!$B$20,0,($D127*$E127*AA$35)-AA$36-MAX(0,($D127*$E127*AA$35)-AA$36-$B127/Assumptions!$B$31)*Assumptions!$B$33))</f>
        <v>6.4599077295882879</v>
      </c>
      <c r="AB127" s="105">
        <f>IF(AB$34=0,-$B127,IF(AB$34&gt;Assumptions!$B$20,0,($D127*$E127*AB$35)-AB$36-MAX(0,($D127*$E127*AB$35)-AB$36-$B127/Assumptions!$B$31)*Assumptions!$B$33))</f>
        <v>6.5252306889604892</v>
      </c>
    </row>
    <row r="128" spans="1:28" outlineLevel="1" x14ac:dyDescent="0.3">
      <c r="A128" s="100">
        <f t="shared" si="9"/>
        <v>37</v>
      </c>
      <c r="B128" s="102" cm="1">
        <f t="array" ref="B128">INDEX($M$11:$S$11,MOD(ROW()-92,7)+1)</f>
        <v>50</v>
      </c>
      <c r="C128" s="101" cm="1">
        <f t="array" ref="C128">INDEX($L$12:$L$18,ROUNDUP((ROW()-91)/7,0))</f>
        <v>0.24000000000000005</v>
      </c>
      <c r="D128" s="102">
        <f>Assumptions!$B$10*$C128</f>
        <v>105.12000000000002</v>
      </c>
      <c r="E128" s="103">
        <f>Assumptions!$B$23</f>
        <v>7.4999999999999997E-2</v>
      </c>
      <c r="F128" s="101">
        <f t="shared" si="10"/>
        <v>9.8687335699375156E-2</v>
      </c>
      <c r="H128" s="105">
        <f>IF(H$34=0,-$B128,IF(H$34&gt;Assumptions!$B$20,0,($D128*$E128*H$35)-H$36-MAX(0,($D128*$E128*H$35)-H$36-$B128/Assumptions!$B$31)*Assumptions!$B$33))</f>
        <v>-50</v>
      </c>
      <c r="I128" s="105">
        <f>IF(I$34=0,-$B128,IF(I$34&gt;Assumptions!$B$20,0,($D128*$E128*I$35)-I$36-MAX(0,($D128*$E128*I$35)-I$36-$B128/Assumptions!$B$31)*Assumptions!$B$33))</f>
        <v>5.4288000000000007</v>
      </c>
      <c r="J128" s="105">
        <f>IF(J$34=0,-$B128,IF(J$34&gt;Assumptions!$B$20,0,($D128*$E128*J$35)-J$36-MAX(0,($D128*$E128*J$35)-J$36-$B128/Assumptions!$B$31)*Assumptions!$B$33))</f>
        <v>5.4863819999999999</v>
      </c>
      <c r="K128" s="105">
        <f>IF(K$34=0,-$B128,IF(K$34&gt;Assumptions!$B$20,0,($D128*$E128*K$35)-K$36-MAX(0,($D128*$E128*K$35)-K$36-$B128/Assumptions!$B$31)*Assumptions!$B$33))</f>
        <v>5.5444497299999993</v>
      </c>
      <c r="L128" s="105">
        <f>IF(L$34=0,-$B128,IF(L$34&gt;Assumptions!$B$20,0,($D128*$E128*L$35)-L$36-MAX(0,($D128*$E128*L$35)-L$36-$B128/Assumptions!$B$31)*Assumptions!$B$33))</f>
        <v>5.6029991359499993</v>
      </c>
      <c r="M128" s="105">
        <f>IF(M$34=0,-$B128,IF(M$34&gt;Assumptions!$B$20,0,($D128*$E128*M$35)-M$36-MAX(0,($D128*$E128*M$35)-M$36-$B128/Assumptions!$B$31)*Assumptions!$B$33))</f>
        <v>5.6620257627892485</v>
      </c>
      <c r="N128" s="105">
        <f>IF(N$34=0,-$B128,IF(N$34&gt;Assumptions!$B$20,0,($D128*$E128*N$35)-N$36-MAX(0,($D128*$E128*N$35)-N$36-$B128/Assumptions!$B$31)*Assumptions!$B$33))</f>
        <v>5.721524738225086</v>
      </c>
      <c r="O128" s="105">
        <f>IF(O$34=0,-$B128,IF(O$34&gt;Assumptions!$B$20,0,($D128*$E128*O$35)-O$36-MAX(0,($D128*$E128*O$35)-O$36-$B128/Assumptions!$B$31)*Assumptions!$B$33))</f>
        <v>5.7814907559622801</v>
      </c>
      <c r="P128" s="105">
        <f>IF(P$34=0,-$B128,IF(P$34&gt;Assumptions!$B$20,0,($D128*$E128*P$35)-P$36-MAX(0,($D128*$E128*P$35)-P$36-$B128/Assumptions!$B$31)*Assumptions!$B$33))</f>
        <v>5.8419180583654482</v>
      </c>
      <c r="Q128" s="105">
        <f>IF(Q$34=0,-$B128,IF(Q$34&gt;Assumptions!$B$20,0,($D128*$E128*Q$35)-Q$36-MAX(0,($D128*$E128*Q$35)-Q$36-$B128/Assumptions!$B$31)*Assumptions!$B$33))</f>
        <v>5.902800418536577</v>
      </c>
      <c r="R128" s="105">
        <f>IF(R$34=0,-$B128,IF(R$34&gt;Assumptions!$B$20,0,($D128*$E128*R$35)-R$36-MAX(0,($D128*$E128*R$35)-R$36-$B128/Assumptions!$B$31)*Assumptions!$B$33))</f>
        <v>5.9641311217891415</v>
      </c>
      <c r="S128" s="105">
        <f>IF(S$34=0,-$B128,IF(S$34&gt;Assumptions!$B$20,0,($D128*$E128*S$35)-S$36-MAX(0,($D128*$E128*S$35)-S$36-$B128/Assumptions!$B$31)*Assumptions!$B$33))</f>
        <v>6.0259029464997287</v>
      </c>
      <c r="T128" s="105">
        <f>IF(T$34=0,-$B128,IF(T$34&gt;Assumptions!$B$20,0,($D128*$E128*T$35)-T$36-MAX(0,($D128*$E128*T$35)-T$36-$B128/Assumptions!$B$31)*Assumptions!$B$33))</f>
        <v>6.0881081443174878</v>
      </c>
      <c r="U128" s="105">
        <f>IF(U$34=0,-$B128,IF(U$34&gt;Assumptions!$B$20,0,($D128*$E128*U$35)-U$36-MAX(0,($D128*$E128*U$35)-U$36-$B128/Assumptions!$B$31)*Assumptions!$B$33))</f>
        <v>6.1507384197111206</v>
      </c>
      <c r="V128" s="105">
        <f>IF(V$34=0,-$B128,IF(V$34&gt;Assumptions!$B$20,0,($D128*$E128*V$35)-V$36-MAX(0,($D128*$E128*V$35)-V$36-$B128/Assumptions!$B$31)*Assumptions!$B$33))</f>
        <v>6.2137849088325252</v>
      </c>
      <c r="W128" s="105">
        <f>IF(W$34=0,-$B128,IF(W$34&gt;Assumptions!$B$20,0,($D128*$E128*W$35)-W$36-MAX(0,($D128*$E128*W$35)-W$36-$B128/Assumptions!$B$31)*Assumptions!$B$33))</f>
        <v>6.2772381576755221</v>
      </c>
      <c r="X128" s="105">
        <f>IF(X$34=0,-$B128,IF(X$34&gt;Assumptions!$B$20,0,($D128*$E128*X$35)-X$36-MAX(0,($D128*$E128*X$35)-X$36-$B128/Assumptions!$B$31)*Assumptions!$B$33))</f>
        <v>6.3410880995074796</v>
      </c>
      <c r="Y128" s="105">
        <f>IF(Y$34=0,-$B128,IF(Y$34&gt;Assumptions!$B$20,0,($D128*$E128*Y$35)-Y$36-MAX(0,($D128*$E128*Y$35)-Y$36-$B128/Assumptions!$B$31)*Assumptions!$B$33))</f>
        <v>6.4053240315509212</v>
      </c>
      <c r="Z128" s="105">
        <f>IF(Z$34=0,-$B128,IF(Z$34&gt;Assumptions!$B$20,0,($D128*$E128*Z$35)-Z$36-MAX(0,($D128*$E128*Z$35)-Z$36-$B128/Assumptions!$B$31)*Assumptions!$B$33))</f>
        <v>6.4699345908915395</v>
      </c>
      <c r="AA128" s="105">
        <f>IF(AA$34=0,-$B128,IF(AA$34&gt;Assumptions!$B$20,0,($D128*$E128*AA$35)-AA$36-MAX(0,($D128*$E128*AA$35)-AA$36-$B128/Assumptions!$B$31)*Assumptions!$B$33))</f>
        <v>6.534907729588288</v>
      </c>
      <c r="AB128" s="105">
        <f>IF(AB$34=0,-$B128,IF(AB$34&gt;Assumptions!$B$20,0,($D128*$E128*AB$35)-AB$36-MAX(0,($D128*$E128*AB$35)-AB$36-$B128/Assumptions!$B$31)*Assumptions!$B$33))</f>
        <v>6.6002306889604885</v>
      </c>
    </row>
    <row r="129" spans="1:28" outlineLevel="1" x14ac:dyDescent="0.3">
      <c r="A129" s="100">
        <f t="shared" si="9"/>
        <v>38</v>
      </c>
      <c r="B129" s="102" cm="1">
        <f t="array" ref="B129">INDEX($M$11:$S$11,MOD(ROW()-92,7)+1)</f>
        <v>55</v>
      </c>
      <c r="C129" s="101" cm="1">
        <f t="array" ref="C129">INDEX($L$12:$L$18,ROUNDUP((ROW()-91)/7,0))</f>
        <v>0.24000000000000005</v>
      </c>
      <c r="D129" s="102">
        <f>Assumptions!$B$10*$C129</f>
        <v>105.12000000000002</v>
      </c>
      <c r="E129" s="103">
        <f>Assumptions!$B$23</f>
        <v>7.4999999999999997E-2</v>
      </c>
      <c r="F129" s="101">
        <f t="shared" si="10"/>
        <v>8.7392400738103282E-2</v>
      </c>
      <c r="H129" s="105">
        <f>IF(H$34=0,-$B129,IF(H$34&gt;Assumptions!$B$20,0,($D129*$E129*H$35)-H$36-MAX(0,($D129*$E129*H$35)-H$36-$B129/Assumptions!$B$31)*Assumptions!$B$33))</f>
        <v>-55</v>
      </c>
      <c r="I129" s="105">
        <f>IF(I$34=0,-$B129,IF(I$34&gt;Assumptions!$B$20,0,($D129*$E129*I$35)-I$36-MAX(0,($D129*$E129*I$35)-I$36-$B129/Assumptions!$B$31)*Assumptions!$B$33))</f>
        <v>5.5038000000000009</v>
      </c>
      <c r="J129" s="105">
        <f>IF(J$34=0,-$B129,IF(J$34&gt;Assumptions!$B$20,0,($D129*$E129*J$35)-J$36-MAX(0,($D129*$E129*J$35)-J$36-$B129/Assumptions!$B$31)*Assumptions!$B$33))</f>
        <v>5.561382</v>
      </c>
      <c r="K129" s="105">
        <f>IF(K$34=0,-$B129,IF(K$34&gt;Assumptions!$B$20,0,($D129*$E129*K$35)-K$36-MAX(0,($D129*$E129*K$35)-K$36-$B129/Assumptions!$B$31)*Assumptions!$B$33))</f>
        <v>5.6194497299999995</v>
      </c>
      <c r="L129" s="105">
        <f>IF(L$34=0,-$B129,IF(L$34&gt;Assumptions!$B$20,0,($D129*$E129*L$35)-L$36-MAX(0,($D129*$E129*L$35)-L$36-$B129/Assumptions!$B$31)*Assumptions!$B$33))</f>
        <v>5.6779991359499995</v>
      </c>
      <c r="M129" s="105">
        <f>IF(M$34=0,-$B129,IF(M$34&gt;Assumptions!$B$20,0,($D129*$E129*M$35)-M$36-MAX(0,($D129*$E129*M$35)-M$36-$B129/Assumptions!$B$31)*Assumptions!$B$33))</f>
        <v>5.7370257627892478</v>
      </c>
      <c r="N129" s="105">
        <f>IF(N$34=0,-$B129,IF(N$34&gt;Assumptions!$B$20,0,($D129*$E129*N$35)-N$36-MAX(0,($D129*$E129*N$35)-N$36-$B129/Assumptions!$B$31)*Assumptions!$B$33))</f>
        <v>5.7965247382250862</v>
      </c>
      <c r="O129" s="105">
        <f>IF(O$34=0,-$B129,IF(O$34&gt;Assumptions!$B$20,0,($D129*$E129*O$35)-O$36-MAX(0,($D129*$E129*O$35)-O$36-$B129/Assumptions!$B$31)*Assumptions!$B$33))</f>
        <v>5.8564907559622803</v>
      </c>
      <c r="P129" s="105">
        <f>IF(P$34=0,-$B129,IF(P$34&gt;Assumptions!$B$20,0,($D129*$E129*P$35)-P$36-MAX(0,($D129*$E129*P$35)-P$36-$B129/Assumptions!$B$31)*Assumptions!$B$33))</f>
        <v>5.9169180583654484</v>
      </c>
      <c r="Q129" s="105">
        <f>IF(Q$34=0,-$B129,IF(Q$34&gt;Assumptions!$B$20,0,($D129*$E129*Q$35)-Q$36-MAX(0,($D129*$E129*Q$35)-Q$36-$B129/Assumptions!$B$31)*Assumptions!$B$33))</f>
        <v>5.9778004185365763</v>
      </c>
      <c r="R129" s="105">
        <f>IF(R$34=0,-$B129,IF(R$34&gt;Assumptions!$B$20,0,($D129*$E129*R$35)-R$36-MAX(0,($D129*$E129*R$35)-R$36-$B129/Assumptions!$B$31)*Assumptions!$B$33))</f>
        <v>6.0391311217891417</v>
      </c>
      <c r="S129" s="105">
        <f>IF(S$34=0,-$B129,IF(S$34&gt;Assumptions!$B$20,0,($D129*$E129*S$35)-S$36-MAX(0,($D129*$E129*S$35)-S$36-$B129/Assumptions!$B$31)*Assumptions!$B$33))</f>
        <v>6.1009029464997289</v>
      </c>
      <c r="T129" s="105">
        <f>IF(T$34=0,-$B129,IF(T$34&gt;Assumptions!$B$20,0,($D129*$E129*T$35)-T$36-MAX(0,($D129*$E129*T$35)-T$36-$B129/Assumptions!$B$31)*Assumptions!$B$33))</f>
        <v>6.163108144317488</v>
      </c>
      <c r="U129" s="105">
        <f>IF(U$34=0,-$B129,IF(U$34&gt;Assumptions!$B$20,0,($D129*$E129*U$35)-U$36-MAX(0,($D129*$E129*U$35)-U$36-$B129/Assumptions!$B$31)*Assumptions!$B$33))</f>
        <v>6.2257384197111207</v>
      </c>
      <c r="V129" s="105">
        <f>IF(V$34=0,-$B129,IF(V$34&gt;Assumptions!$B$20,0,($D129*$E129*V$35)-V$36-MAX(0,($D129*$E129*V$35)-V$36-$B129/Assumptions!$B$31)*Assumptions!$B$33))</f>
        <v>6.2887849088325254</v>
      </c>
      <c r="W129" s="105">
        <f>IF(W$34=0,-$B129,IF(W$34&gt;Assumptions!$B$20,0,($D129*$E129*W$35)-W$36-MAX(0,($D129*$E129*W$35)-W$36-$B129/Assumptions!$B$31)*Assumptions!$B$33))</f>
        <v>6.3522381576755222</v>
      </c>
      <c r="X129" s="105">
        <f>IF(X$34=0,-$B129,IF(X$34&gt;Assumptions!$B$20,0,($D129*$E129*X$35)-X$36-MAX(0,($D129*$E129*X$35)-X$36-$B129/Assumptions!$B$31)*Assumptions!$B$33))</f>
        <v>6.4160880995074798</v>
      </c>
      <c r="Y129" s="105">
        <f>IF(Y$34=0,-$B129,IF(Y$34&gt;Assumptions!$B$20,0,($D129*$E129*Y$35)-Y$36-MAX(0,($D129*$E129*Y$35)-Y$36-$B129/Assumptions!$B$31)*Assumptions!$B$33))</f>
        <v>6.4803240315509214</v>
      </c>
      <c r="Z129" s="105">
        <f>IF(Z$34=0,-$B129,IF(Z$34&gt;Assumptions!$B$20,0,($D129*$E129*Z$35)-Z$36-MAX(0,($D129*$E129*Z$35)-Z$36-$B129/Assumptions!$B$31)*Assumptions!$B$33))</f>
        <v>6.5449345908915397</v>
      </c>
      <c r="AA129" s="105">
        <f>IF(AA$34=0,-$B129,IF(AA$34&gt;Assumptions!$B$20,0,($D129*$E129*AA$35)-AA$36-MAX(0,($D129*$E129*AA$35)-AA$36-$B129/Assumptions!$B$31)*Assumptions!$B$33))</f>
        <v>6.6099077295882882</v>
      </c>
      <c r="AB129" s="105">
        <f>IF(AB$34=0,-$B129,IF(AB$34&gt;Assumptions!$B$20,0,($D129*$E129*AB$35)-AB$36-MAX(0,($D129*$E129*AB$35)-AB$36-$B129/Assumptions!$B$31)*Assumptions!$B$33))</f>
        <v>6.6752306889604887</v>
      </c>
    </row>
    <row r="130" spans="1:28" outlineLevel="1" x14ac:dyDescent="0.3">
      <c r="A130" s="100">
        <f t="shared" si="9"/>
        <v>39</v>
      </c>
      <c r="B130" s="102" cm="1">
        <f t="array" ref="B130">INDEX($M$11:$S$11,MOD(ROW()-92,7)+1)</f>
        <v>60</v>
      </c>
      <c r="C130" s="101" cm="1">
        <f t="array" ref="C130">INDEX($L$12:$L$18,ROUNDUP((ROW()-91)/7,0))</f>
        <v>0.24000000000000005</v>
      </c>
      <c r="D130" s="102">
        <f>Assumptions!$B$10*$C130</f>
        <v>105.12000000000002</v>
      </c>
      <c r="E130" s="103">
        <f>Assumptions!$B$23</f>
        <v>7.4999999999999997E-2</v>
      </c>
      <c r="F130" s="101">
        <f t="shared" si="10"/>
        <v>7.765175101104993E-2</v>
      </c>
      <c r="H130" s="105">
        <f>IF(H$34=0,-$B130,IF(H$34&gt;Assumptions!$B$20,0,($D130*$E130*H$35)-H$36-MAX(0,($D130*$E130*H$35)-H$36-$B130/Assumptions!$B$31)*Assumptions!$B$33))</f>
        <v>-60</v>
      </c>
      <c r="I130" s="105">
        <f>IF(I$34=0,-$B130,IF(I$34&gt;Assumptions!$B$20,0,($D130*$E130*I$35)-I$36-MAX(0,($D130*$E130*I$35)-I$36-$B130/Assumptions!$B$31)*Assumptions!$B$33))</f>
        <v>5.5788000000000011</v>
      </c>
      <c r="J130" s="105">
        <f>IF(J$34=0,-$B130,IF(J$34&gt;Assumptions!$B$20,0,($D130*$E130*J$35)-J$36-MAX(0,($D130*$E130*J$35)-J$36-$B130/Assumptions!$B$31)*Assumptions!$B$33))</f>
        <v>5.6363820000000002</v>
      </c>
      <c r="K130" s="105">
        <f>IF(K$34=0,-$B130,IF(K$34&gt;Assumptions!$B$20,0,($D130*$E130*K$35)-K$36-MAX(0,($D130*$E130*K$35)-K$36-$B130/Assumptions!$B$31)*Assumptions!$B$33))</f>
        <v>5.6944497299999988</v>
      </c>
      <c r="L130" s="105">
        <f>IF(L$34=0,-$B130,IF(L$34&gt;Assumptions!$B$20,0,($D130*$E130*L$35)-L$36-MAX(0,($D130*$E130*L$35)-L$36-$B130/Assumptions!$B$31)*Assumptions!$B$33))</f>
        <v>5.7529991359499988</v>
      </c>
      <c r="M130" s="105">
        <f>IF(M$34=0,-$B130,IF(M$34&gt;Assumptions!$B$20,0,($D130*$E130*M$35)-M$36-MAX(0,($D130*$E130*M$35)-M$36-$B130/Assumptions!$B$31)*Assumptions!$B$33))</f>
        <v>5.812025762789248</v>
      </c>
      <c r="N130" s="105">
        <f>IF(N$34=0,-$B130,IF(N$34&gt;Assumptions!$B$20,0,($D130*$E130*N$35)-N$36-MAX(0,($D130*$E130*N$35)-N$36-$B130/Assumptions!$B$31)*Assumptions!$B$33))</f>
        <v>5.8715247382250864</v>
      </c>
      <c r="O130" s="105">
        <f>IF(O$34=0,-$B130,IF(O$34&gt;Assumptions!$B$20,0,($D130*$E130*O$35)-O$36-MAX(0,($D130*$E130*O$35)-O$36-$B130/Assumptions!$B$31)*Assumptions!$B$33))</f>
        <v>5.9314907559622805</v>
      </c>
      <c r="P130" s="105">
        <f>IF(P$34=0,-$B130,IF(P$34&gt;Assumptions!$B$20,0,($D130*$E130*P$35)-P$36-MAX(0,($D130*$E130*P$35)-P$36-$B130/Assumptions!$B$31)*Assumptions!$B$33))</f>
        <v>5.9919180583654486</v>
      </c>
      <c r="Q130" s="105">
        <f>IF(Q$34=0,-$B130,IF(Q$34&gt;Assumptions!$B$20,0,($D130*$E130*Q$35)-Q$36-MAX(0,($D130*$E130*Q$35)-Q$36-$B130/Assumptions!$B$31)*Assumptions!$B$33))</f>
        <v>6.0528004185365765</v>
      </c>
      <c r="R130" s="105">
        <f>IF(R$34=0,-$B130,IF(R$34&gt;Assumptions!$B$20,0,($D130*$E130*R$35)-R$36-MAX(0,($D130*$E130*R$35)-R$36-$B130/Assumptions!$B$31)*Assumptions!$B$33))</f>
        <v>6.114131121789141</v>
      </c>
      <c r="S130" s="105">
        <f>IF(S$34=0,-$B130,IF(S$34&gt;Assumptions!$B$20,0,($D130*$E130*S$35)-S$36-MAX(0,($D130*$E130*S$35)-S$36-$B130/Assumptions!$B$31)*Assumptions!$B$33))</f>
        <v>6.175902946499729</v>
      </c>
      <c r="T130" s="105">
        <f>IF(T$34=0,-$B130,IF(T$34&gt;Assumptions!$B$20,0,($D130*$E130*T$35)-T$36-MAX(0,($D130*$E130*T$35)-T$36-$B130/Assumptions!$B$31)*Assumptions!$B$33))</f>
        <v>6.2381081443174882</v>
      </c>
      <c r="U130" s="105">
        <f>IF(U$34=0,-$B130,IF(U$34&gt;Assumptions!$B$20,0,($D130*$E130*U$35)-U$36-MAX(0,($D130*$E130*U$35)-U$36-$B130/Assumptions!$B$31)*Assumptions!$B$33))</f>
        <v>6.3007384197111209</v>
      </c>
      <c r="V130" s="105">
        <f>IF(V$34=0,-$B130,IF(V$34&gt;Assumptions!$B$20,0,($D130*$E130*V$35)-V$36-MAX(0,($D130*$E130*V$35)-V$36-$B130/Assumptions!$B$31)*Assumptions!$B$33))</f>
        <v>6.3637849088325256</v>
      </c>
      <c r="W130" s="105">
        <f>IF(W$34=0,-$B130,IF(W$34&gt;Assumptions!$B$20,0,($D130*$E130*W$35)-W$36-MAX(0,($D130*$E130*W$35)-W$36-$B130/Assumptions!$B$31)*Assumptions!$B$33))</f>
        <v>6.4272381576755224</v>
      </c>
      <c r="X130" s="105">
        <f>IF(X$34=0,-$B130,IF(X$34&gt;Assumptions!$B$20,0,($D130*$E130*X$35)-X$36-MAX(0,($D130*$E130*X$35)-X$36-$B130/Assumptions!$B$31)*Assumptions!$B$33))</f>
        <v>6.4910880995074791</v>
      </c>
      <c r="Y130" s="105">
        <f>IF(Y$34=0,-$B130,IF(Y$34&gt;Assumptions!$B$20,0,($D130*$E130*Y$35)-Y$36-MAX(0,($D130*$E130*Y$35)-Y$36-$B130/Assumptions!$B$31)*Assumptions!$B$33))</f>
        <v>6.5553240315509207</v>
      </c>
      <c r="Z130" s="105">
        <f>IF(Z$34=0,-$B130,IF(Z$34&gt;Assumptions!$B$20,0,($D130*$E130*Z$35)-Z$36-MAX(0,($D130*$E130*Z$35)-Z$36-$B130/Assumptions!$B$31)*Assumptions!$B$33))</f>
        <v>6.6199345908915399</v>
      </c>
      <c r="AA130" s="105">
        <f>IF(AA$34=0,-$B130,IF(AA$34&gt;Assumptions!$B$20,0,($D130*$E130*AA$35)-AA$36-MAX(0,($D130*$E130*AA$35)-AA$36-$B130/Assumptions!$B$31)*Assumptions!$B$33))</f>
        <v>6.6849077295882875</v>
      </c>
      <c r="AB130" s="105">
        <f>IF(AB$34=0,-$B130,IF(AB$34&gt;Assumptions!$B$20,0,($D130*$E130*AB$35)-AB$36-MAX(0,($D130*$E130*AB$35)-AB$36-$B130/Assumptions!$B$31)*Assumptions!$B$33))</f>
        <v>6.7502306889604888</v>
      </c>
    </row>
    <row r="131" spans="1:28" outlineLevel="1" x14ac:dyDescent="0.3">
      <c r="A131" s="100">
        <f t="shared" si="9"/>
        <v>40</v>
      </c>
      <c r="B131" s="102" cm="1">
        <f t="array" ref="B131">INDEX($M$11:$S$11,MOD(ROW()-92,7)+1)</f>
        <v>65</v>
      </c>
      <c r="C131" s="101" cm="1">
        <f t="array" ref="C131">INDEX($L$12:$L$18,ROUNDUP((ROW()-91)/7,0))</f>
        <v>0.24000000000000005</v>
      </c>
      <c r="D131" s="102">
        <f>Assumptions!$B$10*$C131</f>
        <v>105.12000000000002</v>
      </c>
      <c r="E131" s="103">
        <f>Assumptions!$B$23</f>
        <v>7.4999999999999997E-2</v>
      </c>
      <c r="F131" s="101">
        <f t="shared" si="10"/>
        <v>6.9135873447745411E-2</v>
      </c>
      <c r="H131" s="105">
        <f>IF(H$34=0,-$B131,IF(H$34&gt;Assumptions!$B$20,0,($D131*$E131*H$35)-H$36-MAX(0,($D131*$E131*H$35)-H$36-$B131/Assumptions!$B$31)*Assumptions!$B$33))</f>
        <v>-65</v>
      </c>
      <c r="I131" s="105">
        <f>IF(I$34=0,-$B131,IF(I$34&gt;Assumptions!$B$20,0,($D131*$E131*I$35)-I$36-MAX(0,($D131*$E131*I$35)-I$36-$B131/Assumptions!$B$31)*Assumptions!$B$33))</f>
        <v>5.6538000000000004</v>
      </c>
      <c r="J131" s="105">
        <f>IF(J$34=0,-$B131,IF(J$34&gt;Assumptions!$B$20,0,($D131*$E131*J$35)-J$36-MAX(0,($D131*$E131*J$35)-J$36-$B131/Assumptions!$B$31)*Assumptions!$B$33))</f>
        <v>5.7113820000000004</v>
      </c>
      <c r="K131" s="105">
        <f>IF(K$34=0,-$B131,IF(K$34&gt;Assumptions!$B$20,0,($D131*$E131*K$35)-K$36-MAX(0,($D131*$E131*K$35)-K$36-$B131/Assumptions!$B$31)*Assumptions!$B$33))</f>
        <v>5.7694497299999989</v>
      </c>
      <c r="L131" s="105">
        <f>IF(L$34=0,-$B131,IF(L$34&gt;Assumptions!$B$20,0,($D131*$E131*L$35)-L$36-MAX(0,($D131*$E131*L$35)-L$36-$B131/Assumptions!$B$31)*Assumptions!$B$33))</f>
        <v>5.827999135949999</v>
      </c>
      <c r="M131" s="105">
        <f>IF(M$34=0,-$B131,IF(M$34&gt;Assumptions!$B$20,0,($D131*$E131*M$35)-M$36-MAX(0,($D131*$E131*M$35)-M$36-$B131/Assumptions!$B$31)*Assumptions!$B$33))</f>
        <v>5.8870257627892482</v>
      </c>
      <c r="N131" s="105">
        <f>IF(N$34=0,-$B131,IF(N$34&gt;Assumptions!$B$20,0,($D131*$E131*N$35)-N$36-MAX(0,($D131*$E131*N$35)-N$36-$B131/Assumptions!$B$31)*Assumptions!$B$33))</f>
        <v>5.9465247382250865</v>
      </c>
      <c r="O131" s="105">
        <f>IF(O$34=0,-$B131,IF(O$34&gt;Assumptions!$B$20,0,($D131*$E131*O$35)-O$36-MAX(0,($D131*$E131*O$35)-O$36-$B131/Assumptions!$B$31)*Assumptions!$B$33))</f>
        <v>6.0064907559622807</v>
      </c>
      <c r="P131" s="105">
        <f>IF(P$34=0,-$B131,IF(P$34&gt;Assumptions!$B$20,0,($D131*$E131*P$35)-P$36-MAX(0,($D131*$E131*P$35)-P$36-$B131/Assumptions!$B$31)*Assumptions!$B$33))</f>
        <v>6.0669180583654487</v>
      </c>
      <c r="Q131" s="105">
        <f>IF(Q$34=0,-$B131,IF(Q$34&gt;Assumptions!$B$20,0,($D131*$E131*Q$35)-Q$36-MAX(0,($D131*$E131*Q$35)-Q$36-$B131/Assumptions!$B$31)*Assumptions!$B$33))</f>
        <v>6.1278004185365766</v>
      </c>
      <c r="R131" s="105">
        <f>IF(R$34=0,-$B131,IF(R$34&gt;Assumptions!$B$20,0,($D131*$E131*R$35)-R$36-MAX(0,($D131*$E131*R$35)-R$36-$B131/Assumptions!$B$31)*Assumptions!$B$33))</f>
        <v>6.1891311217891412</v>
      </c>
      <c r="S131" s="105">
        <f>IF(S$34=0,-$B131,IF(S$34&gt;Assumptions!$B$20,0,($D131*$E131*S$35)-S$36-MAX(0,($D131*$E131*S$35)-S$36-$B131/Assumptions!$B$31)*Assumptions!$B$33))</f>
        <v>6.2509029464997283</v>
      </c>
      <c r="T131" s="105">
        <f>IF(T$34=0,-$B131,IF(T$34&gt;Assumptions!$B$20,0,($D131*$E131*T$35)-T$36-MAX(0,($D131*$E131*T$35)-T$36-$B131/Assumptions!$B$31)*Assumptions!$B$33))</f>
        <v>6.3131081443174875</v>
      </c>
      <c r="U131" s="105">
        <f>IF(U$34=0,-$B131,IF(U$34&gt;Assumptions!$B$20,0,($D131*$E131*U$35)-U$36-MAX(0,($D131*$E131*U$35)-U$36-$B131/Assumptions!$B$31)*Assumptions!$B$33))</f>
        <v>6.3757384197111211</v>
      </c>
      <c r="V131" s="105">
        <f>IF(V$34=0,-$B131,IF(V$34&gt;Assumptions!$B$20,0,($D131*$E131*V$35)-V$36-MAX(0,($D131*$E131*V$35)-V$36-$B131/Assumptions!$B$31)*Assumptions!$B$33))</f>
        <v>6.4387849088325257</v>
      </c>
      <c r="W131" s="105">
        <f>IF(W$34=0,-$B131,IF(W$34&gt;Assumptions!$B$20,0,($D131*$E131*W$35)-W$36-MAX(0,($D131*$E131*W$35)-W$36-$B131/Assumptions!$B$31)*Assumptions!$B$33))</f>
        <v>6.5022381576755226</v>
      </c>
      <c r="X131" s="105">
        <f>IF(X$34=0,-$B131,IF(X$34&gt;Assumptions!$B$20,0,($D131*$E131*X$35)-X$36-MAX(0,($D131*$E131*X$35)-X$36-$B131/Assumptions!$B$31)*Assumptions!$B$33))</f>
        <v>6.5660880995074793</v>
      </c>
      <c r="Y131" s="105">
        <f>IF(Y$34=0,-$B131,IF(Y$34&gt;Assumptions!$B$20,0,($D131*$E131*Y$35)-Y$36-MAX(0,($D131*$E131*Y$35)-Y$36-$B131/Assumptions!$B$31)*Assumptions!$B$33))</f>
        <v>6.6303240315509209</v>
      </c>
      <c r="Z131" s="105">
        <f>IF(Z$34=0,-$B131,IF(Z$34&gt;Assumptions!$B$20,0,($D131*$E131*Z$35)-Z$36-MAX(0,($D131*$E131*Z$35)-Z$36-$B131/Assumptions!$B$31)*Assumptions!$B$33))</f>
        <v>6.6949345908915401</v>
      </c>
      <c r="AA131" s="105">
        <f>IF(AA$34=0,-$B131,IF(AA$34&gt;Assumptions!$B$20,0,($D131*$E131*AA$35)-AA$36-MAX(0,($D131*$E131*AA$35)-AA$36-$B131/Assumptions!$B$31)*Assumptions!$B$33))</f>
        <v>6.7599077295882877</v>
      </c>
      <c r="AB131" s="105">
        <f>IF(AB$34=0,-$B131,IF(AB$34&gt;Assumptions!$B$20,0,($D131*$E131*AB$35)-AB$36-MAX(0,($D131*$E131*AB$35)-AB$36-$B131/Assumptions!$B$31)*Assumptions!$B$33))</f>
        <v>6.825230688960489</v>
      </c>
    </row>
    <row r="132" spans="1:28" outlineLevel="1" x14ac:dyDescent="0.3">
      <c r="A132" s="100">
        <f t="shared" si="9"/>
        <v>41</v>
      </c>
      <c r="B132" s="102" cm="1">
        <f t="array" ref="B132">INDEX($M$11:$S$11,MOD(ROW()-92,7)+1)</f>
        <v>70</v>
      </c>
      <c r="C132" s="101" cm="1">
        <f t="array" ref="C132">INDEX($L$12:$L$18,ROUNDUP((ROW()-91)/7,0))</f>
        <v>0.24000000000000005</v>
      </c>
      <c r="D132" s="102">
        <f>Assumptions!$B$10*$C132</f>
        <v>105.12000000000002</v>
      </c>
      <c r="E132" s="103">
        <f>Assumptions!$B$23</f>
        <v>7.4999999999999997E-2</v>
      </c>
      <c r="F132" s="101">
        <f t="shared" si="10"/>
        <v>6.1605817560537401E-2</v>
      </c>
      <c r="H132" s="105">
        <f>IF(H$34=0,-$B132,IF(H$34&gt;Assumptions!$B$20,0,($D132*$E132*H$35)-H$36-MAX(0,($D132*$E132*H$35)-H$36-$B132/Assumptions!$B$31)*Assumptions!$B$33))</f>
        <v>-70</v>
      </c>
      <c r="I132" s="105">
        <f>IF(I$34=0,-$B132,IF(I$34&gt;Assumptions!$B$20,0,($D132*$E132*I$35)-I$36-MAX(0,($D132*$E132*I$35)-I$36-$B132/Assumptions!$B$31)*Assumptions!$B$33))</f>
        <v>5.7288000000000006</v>
      </c>
      <c r="J132" s="105">
        <f>IF(J$34=0,-$B132,IF(J$34&gt;Assumptions!$B$20,0,($D132*$E132*J$35)-J$36-MAX(0,($D132*$E132*J$35)-J$36-$B132/Assumptions!$B$31)*Assumptions!$B$33))</f>
        <v>5.7863819999999997</v>
      </c>
      <c r="K132" s="105">
        <f>IF(K$34=0,-$B132,IF(K$34&gt;Assumptions!$B$20,0,($D132*$E132*K$35)-K$36-MAX(0,($D132*$E132*K$35)-K$36-$B132/Assumptions!$B$31)*Assumptions!$B$33))</f>
        <v>5.8444497299999991</v>
      </c>
      <c r="L132" s="105">
        <f>IF(L$34=0,-$B132,IF(L$34&gt;Assumptions!$B$20,0,($D132*$E132*L$35)-L$36-MAX(0,($D132*$E132*L$35)-L$36-$B132/Assumptions!$B$31)*Assumptions!$B$33))</f>
        <v>5.9029991359499991</v>
      </c>
      <c r="M132" s="105">
        <f>IF(M$34=0,-$B132,IF(M$34&gt;Assumptions!$B$20,0,($D132*$E132*M$35)-M$36-MAX(0,($D132*$E132*M$35)-M$36-$B132/Assumptions!$B$31)*Assumptions!$B$33))</f>
        <v>5.9620257627892483</v>
      </c>
      <c r="N132" s="105">
        <f>IF(N$34=0,-$B132,IF(N$34&gt;Assumptions!$B$20,0,($D132*$E132*N$35)-N$36-MAX(0,($D132*$E132*N$35)-N$36-$B132/Assumptions!$B$31)*Assumptions!$B$33))</f>
        <v>6.0215247382250858</v>
      </c>
      <c r="O132" s="105">
        <f>IF(O$34=0,-$B132,IF(O$34&gt;Assumptions!$B$20,0,($D132*$E132*O$35)-O$36-MAX(0,($D132*$E132*O$35)-O$36-$B132/Assumptions!$B$31)*Assumptions!$B$33))</f>
        <v>6.0814907559622799</v>
      </c>
      <c r="P132" s="105">
        <f>IF(P$34=0,-$B132,IF(P$34&gt;Assumptions!$B$20,0,($D132*$E132*P$35)-P$36-MAX(0,($D132*$E132*P$35)-P$36-$B132/Assumptions!$B$31)*Assumptions!$B$33))</f>
        <v>6.141918058365448</v>
      </c>
      <c r="Q132" s="105">
        <f>IF(Q$34=0,-$B132,IF(Q$34&gt;Assumptions!$B$20,0,($D132*$E132*Q$35)-Q$36-MAX(0,($D132*$E132*Q$35)-Q$36-$B132/Assumptions!$B$31)*Assumptions!$B$33))</f>
        <v>6.2028004185365768</v>
      </c>
      <c r="R132" s="105">
        <f>IF(R$34=0,-$B132,IF(R$34&gt;Assumptions!$B$20,0,($D132*$E132*R$35)-R$36-MAX(0,($D132*$E132*R$35)-R$36-$B132/Assumptions!$B$31)*Assumptions!$B$33))</f>
        <v>6.2641311217891413</v>
      </c>
      <c r="S132" s="105">
        <f>IF(S$34=0,-$B132,IF(S$34&gt;Assumptions!$B$20,0,($D132*$E132*S$35)-S$36-MAX(0,($D132*$E132*S$35)-S$36-$B132/Assumptions!$B$31)*Assumptions!$B$33))</f>
        <v>6.3259029464997285</v>
      </c>
      <c r="T132" s="105">
        <f>IF(T$34=0,-$B132,IF(T$34&gt;Assumptions!$B$20,0,($D132*$E132*T$35)-T$36-MAX(0,($D132*$E132*T$35)-T$36-$B132/Assumptions!$B$31)*Assumptions!$B$33))</f>
        <v>6.3881081443174876</v>
      </c>
      <c r="U132" s="105">
        <f>IF(U$34=0,-$B132,IF(U$34&gt;Assumptions!$B$20,0,($D132*$E132*U$35)-U$36-MAX(0,($D132*$E132*U$35)-U$36-$B132/Assumptions!$B$31)*Assumptions!$B$33))</f>
        <v>6.4507384197111204</v>
      </c>
      <c r="V132" s="105">
        <f>IF(V$34=0,-$B132,IF(V$34&gt;Assumptions!$B$20,0,($D132*$E132*V$35)-V$36-MAX(0,($D132*$E132*V$35)-V$36-$B132/Assumptions!$B$31)*Assumptions!$B$33))</f>
        <v>6.513784908832525</v>
      </c>
      <c r="W132" s="105">
        <f>IF(W$34=0,-$B132,IF(W$34&gt;Assumptions!$B$20,0,($D132*$E132*W$35)-W$36-MAX(0,($D132*$E132*W$35)-W$36-$B132/Assumptions!$B$31)*Assumptions!$B$33))</f>
        <v>6.5772381576755219</v>
      </c>
      <c r="X132" s="105">
        <f>IF(X$34=0,-$B132,IF(X$34&gt;Assumptions!$B$20,0,($D132*$E132*X$35)-X$36-MAX(0,($D132*$E132*X$35)-X$36-$B132/Assumptions!$B$31)*Assumptions!$B$33))</f>
        <v>6.6410880995074795</v>
      </c>
      <c r="Y132" s="105">
        <f>IF(Y$34=0,-$B132,IF(Y$34&gt;Assumptions!$B$20,0,($D132*$E132*Y$35)-Y$36-MAX(0,($D132*$E132*Y$35)-Y$36-$B132/Assumptions!$B$31)*Assumptions!$B$33))</f>
        <v>6.705324031550921</v>
      </c>
      <c r="Z132" s="105">
        <f>IF(Z$34=0,-$B132,IF(Z$34&gt;Assumptions!$B$20,0,($D132*$E132*Z$35)-Z$36-MAX(0,($D132*$E132*Z$35)-Z$36-$B132/Assumptions!$B$31)*Assumptions!$B$33))</f>
        <v>6.7699345908915394</v>
      </c>
      <c r="AA132" s="105">
        <f>IF(AA$34=0,-$B132,IF(AA$34&gt;Assumptions!$B$20,0,($D132*$E132*AA$35)-AA$36-MAX(0,($D132*$E132*AA$35)-AA$36-$B132/Assumptions!$B$31)*Assumptions!$B$33))</f>
        <v>6.8349077295882879</v>
      </c>
      <c r="AB132" s="105">
        <f>IF(AB$34=0,-$B132,IF(AB$34&gt;Assumptions!$B$20,0,($D132*$E132*AB$35)-AB$36-MAX(0,($D132*$E132*AB$35)-AB$36-$B132/Assumptions!$B$31)*Assumptions!$B$33))</f>
        <v>6.9002306889604892</v>
      </c>
    </row>
    <row r="133" spans="1:28" outlineLevel="1" x14ac:dyDescent="0.3">
      <c r="A133" s="100">
        <f t="shared" si="9"/>
        <v>42</v>
      </c>
      <c r="B133" s="102" cm="1">
        <f t="array" ref="B133">INDEX($M$11:$S$11,MOD(ROW()-92,7)+1)</f>
        <v>75</v>
      </c>
      <c r="C133" s="101" cm="1">
        <f t="array" ref="C133">INDEX($L$12:$L$18,ROUNDUP((ROW()-91)/7,0))</f>
        <v>0.24000000000000005</v>
      </c>
      <c r="D133" s="102">
        <f>Assumptions!$B$10*$C133</f>
        <v>105.12000000000002</v>
      </c>
      <c r="E133" s="103">
        <f>Assumptions!$B$23</f>
        <v>7.4999999999999997E-2</v>
      </c>
      <c r="F133" s="101">
        <f t="shared" si="10"/>
        <v>5.4883522001107687E-2</v>
      </c>
      <c r="H133" s="105">
        <f>IF(H$34=0,-$B133,IF(H$34&gt;Assumptions!$B$20,0,($D133*$E133*H$35)-H$36-MAX(0,($D133*$E133*H$35)-H$36-$B133/Assumptions!$B$31)*Assumptions!$B$33))</f>
        <v>-75</v>
      </c>
      <c r="I133" s="105">
        <f>IF(I$34=0,-$B133,IF(I$34&gt;Assumptions!$B$20,0,($D133*$E133*I$35)-I$36-MAX(0,($D133*$E133*I$35)-I$36-$B133/Assumptions!$B$31)*Assumptions!$B$33))</f>
        <v>5.8038000000000007</v>
      </c>
      <c r="J133" s="105">
        <f>IF(J$34=0,-$B133,IF(J$34&gt;Assumptions!$B$20,0,($D133*$E133*J$35)-J$36-MAX(0,($D133*$E133*J$35)-J$36-$B133/Assumptions!$B$31)*Assumptions!$B$33))</f>
        <v>5.8613819999999999</v>
      </c>
      <c r="K133" s="105">
        <f>IF(K$34=0,-$B133,IF(K$34&gt;Assumptions!$B$20,0,($D133*$E133*K$35)-K$36-MAX(0,($D133*$E133*K$35)-K$36-$B133/Assumptions!$B$31)*Assumptions!$B$33))</f>
        <v>5.9194497299999993</v>
      </c>
      <c r="L133" s="105">
        <f>IF(L$34=0,-$B133,IF(L$34&gt;Assumptions!$B$20,0,($D133*$E133*L$35)-L$36-MAX(0,($D133*$E133*L$35)-L$36-$B133/Assumptions!$B$31)*Assumptions!$B$33))</f>
        <v>5.9779991359499993</v>
      </c>
      <c r="M133" s="105">
        <f>IF(M$34=0,-$B133,IF(M$34&gt;Assumptions!$B$20,0,($D133*$E133*M$35)-M$36-MAX(0,($D133*$E133*M$35)-M$36-$B133/Assumptions!$B$31)*Assumptions!$B$33))</f>
        <v>6.0370257627892485</v>
      </c>
      <c r="N133" s="105">
        <f>IF(N$34=0,-$B133,IF(N$34&gt;Assumptions!$B$20,0,($D133*$E133*N$35)-N$36-MAX(0,($D133*$E133*N$35)-N$36-$B133/Assumptions!$B$31)*Assumptions!$B$33))</f>
        <v>6.096524738225086</v>
      </c>
      <c r="O133" s="105">
        <f>IF(O$34=0,-$B133,IF(O$34&gt;Assumptions!$B$20,0,($D133*$E133*O$35)-O$36-MAX(0,($D133*$E133*O$35)-O$36-$B133/Assumptions!$B$31)*Assumptions!$B$33))</f>
        <v>6.1564907559622801</v>
      </c>
      <c r="P133" s="105">
        <f>IF(P$34=0,-$B133,IF(P$34&gt;Assumptions!$B$20,0,($D133*$E133*P$35)-P$36-MAX(0,($D133*$E133*P$35)-P$36-$B133/Assumptions!$B$31)*Assumptions!$B$33))</f>
        <v>6.2169180583654482</v>
      </c>
      <c r="Q133" s="105">
        <f>IF(Q$34=0,-$B133,IF(Q$34&gt;Assumptions!$B$20,0,($D133*$E133*Q$35)-Q$36-MAX(0,($D133*$E133*Q$35)-Q$36-$B133/Assumptions!$B$31)*Assumptions!$B$33))</f>
        <v>6.277800418536577</v>
      </c>
      <c r="R133" s="105">
        <f>IF(R$34=0,-$B133,IF(R$34&gt;Assumptions!$B$20,0,($D133*$E133*R$35)-R$36-MAX(0,($D133*$E133*R$35)-R$36-$B133/Assumptions!$B$31)*Assumptions!$B$33))</f>
        <v>6.3391311217891415</v>
      </c>
      <c r="S133" s="105">
        <f>IF(S$34=0,-$B133,IF(S$34&gt;Assumptions!$B$20,0,($D133*$E133*S$35)-S$36-MAX(0,($D133*$E133*S$35)-S$36-$B133/Assumptions!$B$31)*Assumptions!$B$33))</f>
        <v>6.4009029464997287</v>
      </c>
      <c r="T133" s="105">
        <f>IF(T$34=0,-$B133,IF(T$34&gt;Assumptions!$B$20,0,($D133*$E133*T$35)-T$36-MAX(0,($D133*$E133*T$35)-T$36-$B133/Assumptions!$B$31)*Assumptions!$B$33))</f>
        <v>6.4631081443174878</v>
      </c>
      <c r="U133" s="105">
        <f>IF(U$34=0,-$B133,IF(U$34&gt;Assumptions!$B$20,0,($D133*$E133*U$35)-U$36-MAX(0,($D133*$E133*U$35)-U$36-$B133/Assumptions!$B$31)*Assumptions!$B$33))</f>
        <v>6.5257384197111206</v>
      </c>
      <c r="V133" s="105">
        <f>IF(V$34=0,-$B133,IF(V$34&gt;Assumptions!$B$20,0,($D133*$E133*V$35)-V$36-MAX(0,($D133*$E133*V$35)-V$36-$B133/Assumptions!$B$31)*Assumptions!$B$33))</f>
        <v>6.5887849088325252</v>
      </c>
      <c r="W133" s="105">
        <f>IF(W$34=0,-$B133,IF(W$34&gt;Assumptions!$B$20,0,($D133*$E133*W$35)-W$36-MAX(0,($D133*$E133*W$35)-W$36-$B133/Assumptions!$B$31)*Assumptions!$B$33))</f>
        <v>6.6522381576755221</v>
      </c>
      <c r="X133" s="105">
        <f>IF(X$34=0,-$B133,IF(X$34&gt;Assumptions!$B$20,0,($D133*$E133*X$35)-X$36-MAX(0,($D133*$E133*X$35)-X$36-$B133/Assumptions!$B$31)*Assumptions!$B$33))</f>
        <v>6.7160880995074796</v>
      </c>
      <c r="Y133" s="105">
        <f>IF(Y$34=0,-$B133,IF(Y$34&gt;Assumptions!$B$20,0,($D133*$E133*Y$35)-Y$36-MAX(0,($D133*$E133*Y$35)-Y$36-$B133/Assumptions!$B$31)*Assumptions!$B$33))</f>
        <v>6.7803240315509212</v>
      </c>
      <c r="Z133" s="105">
        <f>IF(Z$34=0,-$B133,IF(Z$34&gt;Assumptions!$B$20,0,($D133*$E133*Z$35)-Z$36-MAX(0,($D133*$E133*Z$35)-Z$36-$B133/Assumptions!$B$31)*Assumptions!$B$33))</f>
        <v>6.8449345908915395</v>
      </c>
      <c r="AA133" s="105">
        <f>IF(AA$34=0,-$B133,IF(AA$34&gt;Assumptions!$B$20,0,($D133*$E133*AA$35)-AA$36-MAX(0,($D133*$E133*AA$35)-AA$36-$B133/Assumptions!$B$31)*Assumptions!$B$33))</f>
        <v>6.909907729588288</v>
      </c>
      <c r="AB133" s="105">
        <f>IF(AB$34=0,-$B133,IF(AB$34&gt;Assumptions!$B$20,0,($D133*$E133*AB$35)-AB$36-MAX(0,($D133*$E133*AB$35)-AB$36-$B133/Assumptions!$B$31)*Assumptions!$B$33))</f>
        <v>6.9752306889604885</v>
      </c>
    </row>
    <row r="134" spans="1:28" outlineLevel="1" x14ac:dyDescent="0.3">
      <c r="A134" s="100">
        <f t="shared" si="9"/>
        <v>43</v>
      </c>
      <c r="B134" s="102" cm="1">
        <f t="array" ref="B134">INDEX($M$11:$S$11,MOD(ROW()-92,7)+1)</f>
        <v>45</v>
      </c>
      <c r="C134" s="101" cm="1">
        <f t="array" ref="C134">INDEX($L$12:$L$18,ROUNDUP((ROW()-91)/7,0))</f>
        <v>0.25500000000000006</v>
      </c>
      <c r="D134" s="102">
        <f>Assumptions!$B$10*$C134</f>
        <v>111.69000000000003</v>
      </c>
      <c r="E134" s="103">
        <f>Assumptions!$B$23</f>
        <v>7.4999999999999997E-2</v>
      </c>
      <c r="F134" s="101">
        <f t="shared" si="10"/>
        <v>0.12171243538034937</v>
      </c>
      <c r="H134" s="105">
        <f>IF(H$34=0,-$B134,IF(H$34&gt;Assumptions!$B$20,0,($D134*$E134*H$35)-H$36-MAX(0,($D134*$E134*H$35)-H$36-$B134/Assumptions!$B$31)*Assumptions!$B$33))</f>
        <v>-45</v>
      </c>
      <c r="I134" s="105">
        <f>IF(I$34=0,-$B134,IF(I$34&gt;Assumptions!$B$20,0,($D134*$E134*I$35)-I$36-MAX(0,($D134*$E134*I$35)-I$36-$B134/Assumptions!$B$31)*Assumptions!$B$33))</f>
        <v>5.6987250000000005</v>
      </c>
      <c r="J134" s="105">
        <f>IF(J$34=0,-$B134,IF(J$34&gt;Assumptions!$B$20,0,($D134*$E134*J$35)-J$36-MAX(0,($D134*$E134*J$35)-J$36-$B134/Assumptions!$B$31)*Assumptions!$B$33))</f>
        <v>5.7614808750000002</v>
      </c>
      <c r="K134" s="105">
        <f>IF(K$34=0,-$B134,IF(K$34&gt;Assumptions!$B$20,0,($D134*$E134*K$35)-K$36-MAX(0,($D134*$E134*K$35)-K$36-$B134/Assumptions!$B$31)*Assumptions!$B$33))</f>
        <v>5.8248000881249986</v>
      </c>
      <c r="L134" s="105">
        <f>IF(L$34=0,-$B134,IF(L$34&gt;Assumptions!$B$20,0,($D134*$E134*L$35)-L$36-MAX(0,($D134*$E134*L$35)-L$36-$B134/Assumptions!$B$31)*Assumptions!$B$33))</f>
        <v>5.8886797494468741</v>
      </c>
      <c r="M134" s="105">
        <f>IF(M$34=0,-$B134,IF(M$34&gt;Assumptions!$B$20,0,($D134*$E134*M$35)-M$36-MAX(0,($D134*$E134*M$35)-M$36-$B134/Assumptions!$B$31)*Assumptions!$B$33))</f>
        <v>5.9531165854885764</v>
      </c>
      <c r="N134" s="105">
        <f>IF(N$34=0,-$B134,IF(N$34&gt;Assumptions!$B$20,0,($D134*$E134*N$35)-N$36-MAX(0,($D134*$E134*N$35)-N$36-$B134/Assumptions!$B$31)*Assumptions!$B$33))</f>
        <v>6.018106923264904</v>
      </c>
      <c r="O134" s="105">
        <f>IF(O$34=0,-$B134,IF(O$34&gt;Assumptions!$B$20,0,($D134*$E134*O$35)-O$36-MAX(0,($D134*$E134*O$35)-O$36-$B134/Assumptions!$B$31)*Assumptions!$B$33))</f>
        <v>6.0836466737776957</v>
      </c>
      <c r="P134" s="105">
        <f>IF(P$34=0,-$B134,IF(P$34&gt;Assumptions!$B$20,0,($D134*$E134*P$35)-P$36-MAX(0,($D134*$E134*P$35)-P$36-$B134/Assumptions!$B$31)*Assumptions!$B$33))</f>
        <v>6.1497313149480943</v>
      </c>
      <c r="Q134" s="105">
        <f>IF(Q$34=0,-$B134,IF(Q$34&gt;Assumptions!$B$20,0,($D134*$E134*Q$35)-Q$36-MAX(0,($D134*$E134*Q$35)-Q$36-$B134/Assumptions!$B$31)*Assumptions!$B$33))</f>
        <v>6.2163558739679621</v>
      </c>
      <c r="R134" s="105">
        <f>IF(R$34=0,-$B134,IF(R$34&gt;Assumptions!$B$20,0,($D134*$E134*R$35)-R$36-MAX(0,($D134*$E134*R$35)-R$36-$B134/Assumptions!$B$31)*Assumptions!$B$33))</f>
        <v>6.2835149090519975</v>
      </c>
      <c r="S134" s="105">
        <f>IF(S$34=0,-$B134,IF(S$34&gt;Assumptions!$B$20,0,($D134*$E134*S$35)-S$36-MAX(0,($D134*$E134*S$35)-S$36-$B134/Assumptions!$B$31)*Assumptions!$B$33))</f>
        <v>6.3512024905715272</v>
      </c>
      <c r="T134" s="105">
        <f>IF(T$34=0,-$B134,IF(T$34&gt;Assumptions!$B$20,0,($D134*$E134*T$35)-T$36-MAX(0,($D134*$E134*T$35)-T$36-$B134/Assumptions!$B$31)*Assumptions!$B$33))</f>
        <v>6.4194121815503635</v>
      </c>
      <c r="U134" s="105">
        <f>IF(U$34=0,-$B134,IF(U$34&gt;Assumptions!$B$20,0,($D134*$E134*U$35)-U$36-MAX(0,($D134*$E134*U$35)-U$36-$B134/Assumptions!$B$31)*Assumptions!$B$33))</f>
        <v>6.4881370175024893</v>
      </c>
      <c r="V134" s="105">
        <f>IF(V$34=0,-$B134,IF(V$34&gt;Assumptions!$B$20,0,($D134*$E134*V$35)-V$36-MAX(0,($D134*$E134*V$35)-V$36-$B134/Assumptions!$B$31)*Assumptions!$B$33))</f>
        <v>6.5573694855907663</v>
      </c>
      <c r="W134" s="105">
        <f>IF(W$34=0,-$B134,IF(W$34&gt;Assumptions!$B$20,0,($D134*$E134*W$35)-W$36-MAX(0,($D134*$E134*W$35)-W$36-$B134/Assumptions!$B$31)*Assumptions!$B$33))</f>
        <v>6.627101503085135</v>
      </c>
      <c r="X134" s="105">
        <f>IF(X$34=0,-$B134,IF(X$34&gt;Assumptions!$B$20,0,($D134*$E134*X$35)-X$36-MAX(0,($D134*$E134*X$35)-X$36-$B134/Assumptions!$B$31)*Assumptions!$B$33))</f>
        <v>6.6973243950982368</v>
      </c>
      <c r="Y134" s="105">
        <f>IF(Y$34=0,-$B134,IF(Y$34&gt;Assumptions!$B$20,0,($D134*$E134*Y$35)-Y$36-MAX(0,($D134*$E134*Y$35)-Y$36-$B134/Assumptions!$B$31)*Assumptions!$B$33))</f>
        <v>6.7680288715755399</v>
      </c>
      <c r="Z134" s="105">
        <f>IF(Z$34=0,-$B134,IF(Z$34&gt;Assumptions!$B$20,0,($D134*$E134*Z$35)-Z$36-MAX(0,($D134*$E134*Z$35)-Z$36-$B134/Assumptions!$B$31)*Assumptions!$B$33))</f>
        <v>6.8392050035165282</v>
      </c>
      <c r="AA134" s="105">
        <f>IF(AA$34=0,-$B134,IF(AA$34&gt;Assumptions!$B$20,0,($D134*$E134*AA$35)-AA$36-MAX(0,($D134*$E134*AA$35)-AA$36-$B134/Assumptions!$B$31)*Assumptions!$B$33))</f>
        <v>6.9108421984026505</v>
      </c>
      <c r="AB134" s="105">
        <f>IF(AB$34=0,-$B134,IF(AB$34&gt;Assumptions!$B$20,0,($D134*$E134*AB$35)-AB$36-MAX(0,($D134*$E134*AB$35)-AB$36-$B134/Assumptions!$B$31)*Assumptions!$B$33))</f>
        <v>6.982929174807067</v>
      </c>
    </row>
    <row r="135" spans="1:28" outlineLevel="1" x14ac:dyDescent="0.3">
      <c r="A135" s="100">
        <f t="shared" si="9"/>
        <v>44</v>
      </c>
      <c r="B135" s="102" cm="1">
        <f t="array" ref="B135">INDEX($M$11:$S$11,MOD(ROW()-92,7)+1)</f>
        <v>50</v>
      </c>
      <c r="C135" s="101" cm="1">
        <f t="array" ref="C135">INDEX($L$12:$L$18,ROUNDUP((ROW()-91)/7,0))</f>
        <v>0.25500000000000006</v>
      </c>
      <c r="D135" s="102">
        <f>Assumptions!$B$10*$C135</f>
        <v>111.69000000000003</v>
      </c>
      <c r="E135" s="103">
        <f>Assumptions!$B$23</f>
        <v>7.4999999999999997E-2</v>
      </c>
      <c r="F135" s="101">
        <f t="shared" si="10"/>
        <v>0.10775017189746583</v>
      </c>
      <c r="H135" s="105">
        <f>IF(H$34=0,-$B135,IF(H$34&gt;Assumptions!$B$20,0,($D135*$E135*H$35)-H$36-MAX(0,($D135*$E135*H$35)-H$36-$B135/Assumptions!$B$31)*Assumptions!$B$33))</f>
        <v>-50</v>
      </c>
      <c r="I135" s="105">
        <f>IF(I$34=0,-$B135,IF(I$34&gt;Assumptions!$B$20,0,($D135*$E135*I$35)-I$36-MAX(0,($D135*$E135*I$35)-I$36-$B135/Assumptions!$B$31)*Assumptions!$B$33))</f>
        <v>5.7737250000000007</v>
      </c>
      <c r="J135" s="105">
        <f>IF(J$34=0,-$B135,IF(J$34&gt;Assumptions!$B$20,0,($D135*$E135*J$35)-J$36-MAX(0,($D135*$E135*J$35)-J$36-$B135/Assumptions!$B$31)*Assumptions!$B$33))</f>
        <v>5.8364808750000003</v>
      </c>
      <c r="K135" s="105">
        <f>IF(K$34=0,-$B135,IF(K$34&gt;Assumptions!$B$20,0,($D135*$E135*K$35)-K$36-MAX(0,($D135*$E135*K$35)-K$36-$B135/Assumptions!$B$31)*Assumptions!$B$33))</f>
        <v>5.8998000881249988</v>
      </c>
      <c r="L135" s="105">
        <f>IF(L$34=0,-$B135,IF(L$34&gt;Assumptions!$B$20,0,($D135*$E135*L$35)-L$36-MAX(0,($D135*$E135*L$35)-L$36-$B135/Assumptions!$B$31)*Assumptions!$B$33))</f>
        <v>5.9636797494468743</v>
      </c>
      <c r="M135" s="105">
        <f>IF(M$34=0,-$B135,IF(M$34&gt;Assumptions!$B$20,0,($D135*$E135*M$35)-M$36-MAX(0,($D135*$E135*M$35)-M$36-$B135/Assumptions!$B$31)*Assumptions!$B$33))</f>
        <v>6.0281165854885757</v>
      </c>
      <c r="N135" s="105">
        <f>IF(N$34=0,-$B135,IF(N$34&gt;Assumptions!$B$20,0,($D135*$E135*N$35)-N$36-MAX(0,($D135*$E135*N$35)-N$36-$B135/Assumptions!$B$31)*Assumptions!$B$33))</f>
        <v>6.0931069232649042</v>
      </c>
      <c r="O135" s="105">
        <f>IF(O$34=0,-$B135,IF(O$34&gt;Assumptions!$B$20,0,($D135*$E135*O$35)-O$36-MAX(0,($D135*$E135*O$35)-O$36-$B135/Assumptions!$B$31)*Assumptions!$B$33))</f>
        <v>6.1586466737776959</v>
      </c>
      <c r="P135" s="105">
        <f>IF(P$34=0,-$B135,IF(P$34&gt;Assumptions!$B$20,0,($D135*$E135*P$35)-P$36-MAX(0,($D135*$E135*P$35)-P$36-$B135/Assumptions!$B$31)*Assumptions!$B$33))</f>
        <v>6.2247313149480945</v>
      </c>
      <c r="Q135" s="105">
        <f>IF(Q$34=0,-$B135,IF(Q$34&gt;Assumptions!$B$20,0,($D135*$E135*Q$35)-Q$36-MAX(0,($D135*$E135*Q$35)-Q$36-$B135/Assumptions!$B$31)*Assumptions!$B$33))</f>
        <v>6.2913558739679623</v>
      </c>
      <c r="R135" s="105">
        <f>IF(R$34=0,-$B135,IF(R$34&gt;Assumptions!$B$20,0,($D135*$E135*R$35)-R$36-MAX(0,($D135*$E135*R$35)-R$36-$B135/Assumptions!$B$31)*Assumptions!$B$33))</f>
        <v>6.3585149090519977</v>
      </c>
      <c r="S135" s="105">
        <f>IF(S$34=0,-$B135,IF(S$34&gt;Assumptions!$B$20,0,($D135*$E135*S$35)-S$36-MAX(0,($D135*$E135*S$35)-S$36-$B135/Assumptions!$B$31)*Assumptions!$B$33))</f>
        <v>6.4262024905715274</v>
      </c>
      <c r="T135" s="105">
        <f>IF(T$34=0,-$B135,IF(T$34&gt;Assumptions!$B$20,0,($D135*$E135*T$35)-T$36-MAX(0,($D135*$E135*T$35)-T$36-$B135/Assumptions!$B$31)*Assumptions!$B$33))</f>
        <v>6.4944121815503637</v>
      </c>
      <c r="U135" s="105">
        <f>IF(U$34=0,-$B135,IF(U$34&gt;Assumptions!$B$20,0,($D135*$E135*U$35)-U$36-MAX(0,($D135*$E135*U$35)-U$36-$B135/Assumptions!$B$31)*Assumptions!$B$33))</f>
        <v>6.5631370175024895</v>
      </c>
      <c r="V135" s="105">
        <f>IF(V$34=0,-$B135,IF(V$34&gt;Assumptions!$B$20,0,($D135*$E135*V$35)-V$36-MAX(0,($D135*$E135*V$35)-V$36-$B135/Assumptions!$B$31)*Assumptions!$B$33))</f>
        <v>6.6323694855907664</v>
      </c>
      <c r="W135" s="105">
        <f>IF(W$34=0,-$B135,IF(W$34&gt;Assumptions!$B$20,0,($D135*$E135*W$35)-W$36-MAX(0,($D135*$E135*W$35)-W$36-$B135/Assumptions!$B$31)*Assumptions!$B$33))</f>
        <v>6.7021015030851352</v>
      </c>
      <c r="X135" s="105">
        <f>IF(X$34=0,-$B135,IF(X$34&gt;Assumptions!$B$20,0,($D135*$E135*X$35)-X$36-MAX(0,($D135*$E135*X$35)-X$36-$B135/Assumptions!$B$31)*Assumptions!$B$33))</f>
        <v>6.772324395098237</v>
      </c>
      <c r="Y135" s="105">
        <f>IF(Y$34=0,-$B135,IF(Y$34&gt;Assumptions!$B$20,0,($D135*$E135*Y$35)-Y$36-MAX(0,($D135*$E135*Y$35)-Y$36-$B135/Assumptions!$B$31)*Assumptions!$B$33))</f>
        <v>6.8430288715755392</v>
      </c>
      <c r="Z135" s="105">
        <f>IF(Z$34=0,-$B135,IF(Z$34&gt;Assumptions!$B$20,0,($D135*$E135*Z$35)-Z$36-MAX(0,($D135*$E135*Z$35)-Z$36-$B135/Assumptions!$B$31)*Assumptions!$B$33))</f>
        <v>6.9142050035165283</v>
      </c>
      <c r="AA135" s="105">
        <f>IF(AA$34=0,-$B135,IF(AA$34&gt;Assumptions!$B$20,0,($D135*$E135*AA$35)-AA$36-MAX(0,($D135*$E135*AA$35)-AA$36-$B135/Assumptions!$B$31)*Assumptions!$B$33))</f>
        <v>6.9858421984026506</v>
      </c>
      <c r="AB135" s="105">
        <f>IF(AB$34=0,-$B135,IF(AB$34&gt;Assumptions!$B$20,0,($D135*$E135*AB$35)-AB$36-MAX(0,($D135*$E135*AB$35)-AB$36-$B135/Assumptions!$B$31)*Assumptions!$B$33))</f>
        <v>7.0579291748070672</v>
      </c>
    </row>
    <row r="136" spans="1:28" outlineLevel="1" x14ac:dyDescent="0.3">
      <c r="A136" s="100">
        <f t="shared" si="9"/>
        <v>45</v>
      </c>
      <c r="B136" s="102" cm="1">
        <f t="array" ref="B136">INDEX($M$11:$S$11,MOD(ROW()-92,7)+1)</f>
        <v>55</v>
      </c>
      <c r="C136" s="101" cm="1">
        <f t="array" ref="C136">INDEX($L$12:$L$18,ROUNDUP((ROW()-91)/7,0))</f>
        <v>0.25500000000000006</v>
      </c>
      <c r="D136" s="102">
        <f>Assumptions!$B$10*$C136</f>
        <v>111.69000000000003</v>
      </c>
      <c r="E136" s="103">
        <f>Assumptions!$B$23</f>
        <v>7.4999999999999997E-2</v>
      </c>
      <c r="F136" s="101">
        <f t="shared" si="10"/>
        <v>9.592696588472438E-2</v>
      </c>
      <c r="H136" s="105">
        <f>IF(H$34=0,-$B136,IF(H$34&gt;Assumptions!$B$20,0,($D136*$E136*H$35)-H$36-MAX(0,($D136*$E136*H$35)-H$36-$B136/Assumptions!$B$31)*Assumptions!$B$33))</f>
        <v>-55</v>
      </c>
      <c r="I136" s="105">
        <f>IF(I$34=0,-$B136,IF(I$34&gt;Assumptions!$B$20,0,($D136*$E136*I$35)-I$36-MAX(0,($D136*$E136*I$35)-I$36-$B136/Assumptions!$B$31)*Assumptions!$B$33))</f>
        <v>5.8487250000000008</v>
      </c>
      <c r="J136" s="105">
        <f>IF(J$34=0,-$B136,IF(J$34&gt;Assumptions!$B$20,0,($D136*$E136*J$35)-J$36-MAX(0,($D136*$E136*J$35)-J$36-$B136/Assumptions!$B$31)*Assumptions!$B$33))</f>
        <v>5.9114808750000005</v>
      </c>
      <c r="K136" s="105">
        <f>IF(K$34=0,-$B136,IF(K$34&gt;Assumptions!$B$20,0,($D136*$E136*K$35)-K$36-MAX(0,($D136*$E136*K$35)-K$36-$B136/Assumptions!$B$31)*Assumptions!$B$33))</f>
        <v>5.974800088124999</v>
      </c>
      <c r="L136" s="105">
        <f>IF(L$34=0,-$B136,IF(L$34&gt;Assumptions!$B$20,0,($D136*$E136*L$35)-L$36-MAX(0,($D136*$E136*L$35)-L$36-$B136/Assumptions!$B$31)*Assumptions!$B$33))</f>
        <v>6.0386797494468745</v>
      </c>
      <c r="M136" s="105">
        <f>IF(M$34=0,-$B136,IF(M$34&gt;Assumptions!$B$20,0,($D136*$E136*M$35)-M$36-MAX(0,($D136*$E136*M$35)-M$36-$B136/Assumptions!$B$31)*Assumptions!$B$33))</f>
        <v>6.1031165854885758</v>
      </c>
      <c r="N136" s="105">
        <f>IF(N$34=0,-$B136,IF(N$34&gt;Assumptions!$B$20,0,($D136*$E136*N$35)-N$36-MAX(0,($D136*$E136*N$35)-N$36-$B136/Assumptions!$B$31)*Assumptions!$B$33))</f>
        <v>6.1681069232649044</v>
      </c>
      <c r="O136" s="105">
        <f>IF(O$34=0,-$B136,IF(O$34&gt;Assumptions!$B$20,0,($D136*$E136*O$35)-O$36-MAX(0,($D136*$E136*O$35)-O$36-$B136/Assumptions!$B$31)*Assumptions!$B$33))</f>
        <v>6.2336466737776961</v>
      </c>
      <c r="P136" s="105">
        <f>IF(P$34=0,-$B136,IF(P$34&gt;Assumptions!$B$20,0,($D136*$E136*P$35)-P$36-MAX(0,($D136*$E136*P$35)-P$36-$B136/Assumptions!$B$31)*Assumptions!$B$33))</f>
        <v>6.2997313149480947</v>
      </c>
      <c r="Q136" s="105">
        <f>IF(Q$34=0,-$B136,IF(Q$34&gt;Assumptions!$B$20,0,($D136*$E136*Q$35)-Q$36-MAX(0,($D136*$E136*Q$35)-Q$36-$B136/Assumptions!$B$31)*Assumptions!$B$33))</f>
        <v>6.3663558739679624</v>
      </c>
      <c r="R136" s="105">
        <f>IF(R$34=0,-$B136,IF(R$34&gt;Assumptions!$B$20,0,($D136*$E136*R$35)-R$36-MAX(0,($D136*$E136*R$35)-R$36-$B136/Assumptions!$B$31)*Assumptions!$B$33))</f>
        <v>6.4335149090519979</v>
      </c>
      <c r="S136" s="105">
        <f>IF(S$34=0,-$B136,IF(S$34&gt;Assumptions!$B$20,0,($D136*$E136*S$35)-S$36-MAX(0,($D136*$E136*S$35)-S$36-$B136/Assumptions!$B$31)*Assumptions!$B$33))</f>
        <v>6.5012024905715275</v>
      </c>
      <c r="T136" s="105">
        <f>IF(T$34=0,-$B136,IF(T$34&gt;Assumptions!$B$20,0,($D136*$E136*T$35)-T$36-MAX(0,($D136*$E136*T$35)-T$36-$B136/Assumptions!$B$31)*Assumptions!$B$33))</f>
        <v>6.5694121815503639</v>
      </c>
      <c r="U136" s="105">
        <f>IF(U$34=0,-$B136,IF(U$34&gt;Assumptions!$B$20,0,($D136*$E136*U$35)-U$36-MAX(0,($D136*$E136*U$35)-U$36-$B136/Assumptions!$B$31)*Assumptions!$B$33))</f>
        <v>6.6381370175024896</v>
      </c>
      <c r="V136" s="105">
        <f>IF(V$34=0,-$B136,IF(V$34&gt;Assumptions!$B$20,0,($D136*$E136*V$35)-V$36-MAX(0,($D136*$E136*V$35)-V$36-$B136/Assumptions!$B$31)*Assumptions!$B$33))</f>
        <v>6.7073694855907657</v>
      </c>
      <c r="W136" s="105">
        <f>IF(W$34=0,-$B136,IF(W$34&gt;Assumptions!$B$20,0,($D136*$E136*W$35)-W$36-MAX(0,($D136*$E136*W$35)-W$36-$B136/Assumptions!$B$31)*Assumptions!$B$33))</f>
        <v>6.7771015030851345</v>
      </c>
      <c r="X136" s="105">
        <f>IF(X$34=0,-$B136,IF(X$34&gt;Assumptions!$B$20,0,($D136*$E136*X$35)-X$36-MAX(0,($D136*$E136*X$35)-X$36-$B136/Assumptions!$B$31)*Assumptions!$B$33))</f>
        <v>6.8473243950982372</v>
      </c>
      <c r="Y136" s="105">
        <f>IF(Y$34=0,-$B136,IF(Y$34&gt;Assumptions!$B$20,0,($D136*$E136*Y$35)-Y$36-MAX(0,($D136*$E136*Y$35)-Y$36-$B136/Assumptions!$B$31)*Assumptions!$B$33))</f>
        <v>6.9180288715755394</v>
      </c>
      <c r="Z136" s="105">
        <f>IF(Z$34=0,-$B136,IF(Z$34&gt;Assumptions!$B$20,0,($D136*$E136*Z$35)-Z$36-MAX(0,($D136*$E136*Z$35)-Z$36-$B136/Assumptions!$B$31)*Assumptions!$B$33))</f>
        <v>6.9892050035165276</v>
      </c>
      <c r="AA136" s="105">
        <f>IF(AA$34=0,-$B136,IF(AA$34&gt;Assumptions!$B$20,0,($D136*$E136*AA$35)-AA$36-MAX(0,($D136*$E136*AA$35)-AA$36-$B136/Assumptions!$B$31)*Assumptions!$B$33))</f>
        <v>7.0608421984026508</v>
      </c>
      <c r="AB136" s="105">
        <f>IF(AB$34=0,-$B136,IF(AB$34&gt;Assumptions!$B$20,0,($D136*$E136*AB$35)-AB$36-MAX(0,($D136*$E136*AB$35)-AB$36-$B136/Assumptions!$B$31)*Assumptions!$B$33))</f>
        <v>7.1329291748070673</v>
      </c>
    </row>
    <row r="137" spans="1:28" outlineLevel="1" x14ac:dyDescent="0.3">
      <c r="A137" s="100">
        <f t="shared" si="9"/>
        <v>46</v>
      </c>
      <c r="B137" s="102" cm="1">
        <f t="array" ref="B137">INDEX($M$11:$S$11,MOD(ROW()-92,7)+1)</f>
        <v>60</v>
      </c>
      <c r="C137" s="101" cm="1">
        <f t="array" ref="C137">INDEX($L$12:$L$18,ROUNDUP((ROW()-91)/7,0))</f>
        <v>0.25500000000000006</v>
      </c>
      <c r="D137" s="102">
        <f>Assumptions!$B$10*$C137</f>
        <v>111.69000000000003</v>
      </c>
      <c r="E137" s="103">
        <f>Assumptions!$B$23</f>
        <v>7.4999999999999997E-2</v>
      </c>
      <c r="F137" s="101">
        <f t="shared" si="10"/>
        <v>8.5743146714429841E-2</v>
      </c>
      <c r="H137" s="105">
        <f>IF(H$34=0,-$B137,IF(H$34&gt;Assumptions!$B$20,0,($D137*$E137*H$35)-H$36-MAX(0,($D137*$E137*H$35)-H$36-$B137/Assumptions!$B$31)*Assumptions!$B$33))</f>
        <v>-60</v>
      </c>
      <c r="I137" s="105">
        <f>IF(I$34=0,-$B137,IF(I$34&gt;Assumptions!$B$20,0,($D137*$E137*I$35)-I$36-MAX(0,($D137*$E137*I$35)-I$36-$B137/Assumptions!$B$31)*Assumptions!$B$33))</f>
        <v>5.923725000000001</v>
      </c>
      <c r="J137" s="105">
        <f>IF(J$34=0,-$B137,IF(J$34&gt;Assumptions!$B$20,0,($D137*$E137*J$35)-J$36-MAX(0,($D137*$E137*J$35)-J$36-$B137/Assumptions!$B$31)*Assumptions!$B$33))</f>
        <v>5.9864808749999998</v>
      </c>
      <c r="K137" s="105">
        <f>IF(K$34=0,-$B137,IF(K$34&gt;Assumptions!$B$20,0,($D137*$E137*K$35)-K$36-MAX(0,($D137*$E137*K$35)-K$36-$B137/Assumptions!$B$31)*Assumptions!$B$33))</f>
        <v>6.0498000881249983</v>
      </c>
      <c r="L137" s="105">
        <f>IF(L$34=0,-$B137,IF(L$34&gt;Assumptions!$B$20,0,($D137*$E137*L$35)-L$36-MAX(0,($D137*$E137*L$35)-L$36-$B137/Assumptions!$B$31)*Assumptions!$B$33))</f>
        <v>6.1136797494468738</v>
      </c>
      <c r="M137" s="105">
        <f>IF(M$34=0,-$B137,IF(M$34&gt;Assumptions!$B$20,0,($D137*$E137*M$35)-M$36-MAX(0,($D137*$E137*M$35)-M$36-$B137/Assumptions!$B$31)*Assumptions!$B$33))</f>
        <v>6.178116585488576</v>
      </c>
      <c r="N137" s="105">
        <f>IF(N$34=0,-$B137,IF(N$34&gt;Assumptions!$B$20,0,($D137*$E137*N$35)-N$36-MAX(0,($D137*$E137*N$35)-N$36-$B137/Assumptions!$B$31)*Assumptions!$B$33))</f>
        <v>6.2431069232649037</v>
      </c>
      <c r="O137" s="105">
        <f>IF(O$34=0,-$B137,IF(O$34&gt;Assumptions!$B$20,0,($D137*$E137*O$35)-O$36-MAX(0,($D137*$E137*O$35)-O$36-$B137/Assumptions!$B$31)*Assumptions!$B$33))</f>
        <v>6.3086466737776963</v>
      </c>
      <c r="P137" s="105">
        <f>IF(P$34=0,-$B137,IF(P$34&gt;Assumptions!$B$20,0,($D137*$E137*P$35)-P$36-MAX(0,($D137*$E137*P$35)-P$36-$B137/Assumptions!$B$31)*Assumptions!$B$33))</f>
        <v>6.3747313149480949</v>
      </c>
      <c r="Q137" s="105">
        <f>IF(Q$34=0,-$B137,IF(Q$34&gt;Assumptions!$B$20,0,($D137*$E137*Q$35)-Q$36-MAX(0,($D137*$E137*Q$35)-Q$36-$B137/Assumptions!$B$31)*Assumptions!$B$33))</f>
        <v>6.4413558739679626</v>
      </c>
      <c r="R137" s="105">
        <f>IF(R$34=0,-$B137,IF(R$34&gt;Assumptions!$B$20,0,($D137*$E137*R$35)-R$36-MAX(0,($D137*$E137*R$35)-R$36-$B137/Assumptions!$B$31)*Assumptions!$B$33))</f>
        <v>6.508514909051998</v>
      </c>
      <c r="S137" s="105">
        <f>IF(S$34=0,-$B137,IF(S$34&gt;Assumptions!$B$20,0,($D137*$E137*S$35)-S$36-MAX(0,($D137*$E137*S$35)-S$36-$B137/Assumptions!$B$31)*Assumptions!$B$33))</f>
        <v>6.5762024905715277</v>
      </c>
      <c r="T137" s="105">
        <f>IF(T$34=0,-$B137,IF(T$34&gt;Assumptions!$B$20,0,($D137*$E137*T$35)-T$36-MAX(0,($D137*$E137*T$35)-T$36-$B137/Assumptions!$B$31)*Assumptions!$B$33))</f>
        <v>6.6444121815503641</v>
      </c>
      <c r="U137" s="105">
        <f>IF(U$34=0,-$B137,IF(U$34&gt;Assumptions!$B$20,0,($D137*$E137*U$35)-U$36-MAX(0,($D137*$E137*U$35)-U$36-$B137/Assumptions!$B$31)*Assumptions!$B$33))</f>
        <v>6.7131370175024898</v>
      </c>
      <c r="V137" s="105">
        <f>IF(V$34=0,-$B137,IF(V$34&gt;Assumptions!$B$20,0,($D137*$E137*V$35)-V$36-MAX(0,($D137*$E137*V$35)-V$36-$B137/Assumptions!$B$31)*Assumptions!$B$33))</f>
        <v>6.7823694855907659</v>
      </c>
      <c r="W137" s="105">
        <f>IF(W$34=0,-$B137,IF(W$34&gt;Assumptions!$B$20,0,($D137*$E137*W$35)-W$36-MAX(0,($D137*$E137*W$35)-W$36-$B137/Assumptions!$B$31)*Assumptions!$B$33))</f>
        <v>6.8521015030851347</v>
      </c>
      <c r="X137" s="105">
        <f>IF(X$34=0,-$B137,IF(X$34&gt;Assumptions!$B$20,0,($D137*$E137*X$35)-X$36-MAX(0,($D137*$E137*X$35)-X$36-$B137/Assumptions!$B$31)*Assumptions!$B$33))</f>
        <v>6.9223243950982365</v>
      </c>
      <c r="Y137" s="105">
        <f>IF(Y$34=0,-$B137,IF(Y$34&gt;Assumptions!$B$20,0,($D137*$E137*Y$35)-Y$36-MAX(0,($D137*$E137*Y$35)-Y$36-$B137/Assumptions!$B$31)*Assumptions!$B$33))</f>
        <v>6.9930288715755395</v>
      </c>
      <c r="Z137" s="105">
        <f>IF(Z$34=0,-$B137,IF(Z$34&gt;Assumptions!$B$20,0,($D137*$E137*Z$35)-Z$36-MAX(0,($D137*$E137*Z$35)-Z$36-$B137/Assumptions!$B$31)*Assumptions!$B$33))</f>
        <v>7.0642050035165278</v>
      </c>
      <c r="AA137" s="105">
        <f>IF(AA$34=0,-$B137,IF(AA$34&gt;Assumptions!$B$20,0,($D137*$E137*AA$35)-AA$36-MAX(0,($D137*$E137*AA$35)-AA$36-$B137/Assumptions!$B$31)*Assumptions!$B$33))</f>
        <v>7.135842198402651</v>
      </c>
      <c r="AB137" s="105">
        <f>IF(AB$34=0,-$B137,IF(AB$34&gt;Assumptions!$B$20,0,($D137*$E137*AB$35)-AB$36-MAX(0,($D137*$E137*AB$35)-AB$36-$B137/Assumptions!$B$31)*Assumptions!$B$33))</f>
        <v>7.2079291748070666</v>
      </c>
    </row>
    <row r="138" spans="1:28" outlineLevel="1" x14ac:dyDescent="0.3">
      <c r="A138" s="100">
        <f t="shared" si="9"/>
        <v>47</v>
      </c>
      <c r="B138" s="102" cm="1">
        <f t="array" ref="B138">INDEX($M$11:$S$11,MOD(ROW()-92,7)+1)</f>
        <v>65</v>
      </c>
      <c r="C138" s="101" cm="1">
        <f t="array" ref="C138">INDEX($L$12:$L$18,ROUNDUP((ROW()-91)/7,0))</f>
        <v>0.25500000000000006</v>
      </c>
      <c r="D138" s="102">
        <f>Assumptions!$B$10*$C138</f>
        <v>111.69000000000003</v>
      </c>
      <c r="E138" s="103">
        <f>Assumptions!$B$23</f>
        <v>7.4999999999999997E-2</v>
      </c>
      <c r="F138" s="101">
        <f t="shared" si="10"/>
        <v>7.6848744579826267E-2</v>
      </c>
      <c r="H138" s="105">
        <f>IF(H$34=0,-$B138,IF(H$34&gt;Assumptions!$B$20,0,($D138*$E138*H$35)-H$36-MAX(0,($D138*$E138*H$35)-H$36-$B138/Assumptions!$B$31)*Assumptions!$B$33))</f>
        <v>-65</v>
      </c>
      <c r="I138" s="105">
        <f>IF(I$34=0,-$B138,IF(I$34&gt;Assumptions!$B$20,0,($D138*$E138*I$35)-I$36-MAX(0,($D138*$E138*I$35)-I$36-$B138/Assumptions!$B$31)*Assumptions!$B$33))</f>
        <v>5.9987250000000003</v>
      </c>
      <c r="J138" s="105">
        <f>IF(J$34=0,-$B138,IF(J$34&gt;Assumptions!$B$20,0,($D138*$E138*J$35)-J$36-MAX(0,($D138*$E138*J$35)-J$36-$B138/Assumptions!$B$31)*Assumptions!$B$33))</f>
        <v>6.061480875</v>
      </c>
      <c r="K138" s="105">
        <f>IF(K$34=0,-$B138,IF(K$34&gt;Assumptions!$B$20,0,($D138*$E138*K$35)-K$36-MAX(0,($D138*$E138*K$35)-K$36-$B138/Assumptions!$B$31)*Assumptions!$B$33))</f>
        <v>6.1248000881249984</v>
      </c>
      <c r="L138" s="105">
        <f>IF(L$34=0,-$B138,IF(L$34&gt;Assumptions!$B$20,0,($D138*$E138*L$35)-L$36-MAX(0,($D138*$E138*L$35)-L$36-$B138/Assumptions!$B$31)*Assumptions!$B$33))</f>
        <v>6.1886797494468739</v>
      </c>
      <c r="M138" s="105">
        <f>IF(M$34=0,-$B138,IF(M$34&gt;Assumptions!$B$20,0,($D138*$E138*M$35)-M$36-MAX(0,($D138*$E138*M$35)-M$36-$B138/Assumptions!$B$31)*Assumptions!$B$33))</f>
        <v>6.2531165854885762</v>
      </c>
      <c r="N138" s="105">
        <f>IF(N$34=0,-$B138,IF(N$34&gt;Assumptions!$B$20,0,($D138*$E138*N$35)-N$36-MAX(0,($D138*$E138*N$35)-N$36-$B138/Assumptions!$B$31)*Assumptions!$B$33))</f>
        <v>6.3181069232649039</v>
      </c>
      <c r="O138" s="105">
        <f>IF(O$34=0,-$B138,IF(O$34&gt;Assumptions!$B$20,0,($D138*$E138*O$35)-O$36-MAX(0,($D138*$E138*O$35)-O$36-$B138/Assumptions!$B$31)*Assumptions!$B$33))</f>
        <v>6.3836466737776956</v>
      </c>
      <c r="P138" s="105">
        <f>IF(P$34=0,-$B138,IF(P$34&gt;Assumptions!$B$20,0,($D138*$E138*P$35)-P$36-MAX(0,($D138*$E138*P$35)-P$36-$B138/Assumptions!$B$31)*Assumptions!$B$33))</f>
        <v>6.4497313149480942</v>
      </c>
      <c r="Q138" s="105">
        <f>IF(Q$34=0,-$B138,IF(Q$34&gt;Assumptions!$B$20,0,($D138*$E138*Q$35)-Q$36-MAX(0,($D138*$E138*Q$35)-Q$36-$B138/Assumptions!$B$31)*Assumptions!$B$33))</f>
        <v>6.5163558739679619</v>
      </c>
      <c r="R138" s="105">
        <f>IF(R$34=0,-$B138,IF(R$34&gt;Assumptions!$B$20,0,($D138*$E138*R$35)-R$36-MAX(0,($D138*$E138*R$35)-R$36-$B138/Assumptions!$B$31)*Assumptions!$B$33))</f>
        <v>6.5835149090519973</v>
      </c>
      <c r="S138" s="105">
        <f>IF(S$34=0,-$B138,IF(S$34&gt;Assumptions!$B$20,0,($D138*$E138*S$35)-S$36-MAX(0,($D138*$E138*S$35)-S$36-$B138/Assumptions!$B$31)*Assumptions!$B$33))</f>
        <v>6.6512024905715279</v>
      </c>
      <c r="T138" s="105">
        <f>IF(T$34=0,-$B138,IF(T$34&gt;Assumptions!$B$20,0,($D138*$E138*T$35)-T$36-MAX(0,($D138*$E138*T$35)-T$36-$B138/Assumptions!$B$31)*Assumptions!$B$33))</f>
        <v>6.7194121815503642</v>
      </c>
      <c r="U138" s="105">
        <f>IF(U$34=0,-$B138,IF(U$34&gt;Assumptions!$B$20,0,($D138*$E138*U$35)-U$36-MAX(0,($D138*$E138*U$35)-U$36-$B138/Assumptions!$B$31)*Assumptions!$B$33))</f>
        <v>6.7881370175024891</v>
      </c>
      <c r="V138" s="105">
        <f>IF(V$34=0,-$B138,IF(V$34&gt;Assumptions!$B$20,0,($D138*$E138*V$35)-V$36-MAX(0,($D138*$E138*V$35)-V$36-$B138/Assumptions!$B$31)*Assumptions!$B$33))</f>
        <v>6.8573694855907661</v>
      </c>
      <c r="W138" s="105">
        <f>IF(W$34=0,-$B138,IF(W$34&gt;Assumptions!$B$20,0,($D138*$E138*W$35)-W$36-MAX(0,($D138*$E138*W$35)-W$36-$B138/Assumptions!$B$31)*Assumptions!$B$33))</f>
        <v>6.9271015030851348</v>
      </c>
      <c r="X138" s="105">
        <f>IF(X$34=0,-$B138,IF(X$34&gt;Assumptions!$B$20,0,($D138*$E138*X$35)-X$36-MAX(0,($D138*$E138*X$35)-X$36-$B138/Assumptions!$B$31)*Assumptions!$B$33))</f>
        <v>6.9973243950982367</v>
      </c>
      <c r="Y138" s="105">
        <f>IF(Y$34=0,-$B138,IF(Y$34&gt;Assumptions!$B$20,0,($D138*$E138*Y$35)-Y$36-MAX(0,($D138*$E138*Y$35)-Y$36-$B138/Assumptions!$B$31)*Assumptions!$B$33))</f>
        <v>7.0680288715755397</v>
      </c>
      <c r="Z138" s="105">
        <f>IF(Z$34=0,-$B138,IF(Z$34&gt;Assumptions!$B$20,0,($D138*$E138*Z$35)-Z$36-MAX(0,($D138*$E138*Z$35)-Z$36-$B138/Assumptions!$B$31)*Assumptions!$B$33))</f>
        <v>7.139205003516528</v>
      </c>
      <c r="AA138" s="105">
        <f>IF(AA$34=0,-$B138,IF(AA$34&gt;Assumptions!$B$20,0,($D138*$E138*AA$35)-AA$36-MAX(0,($D138*$E138*AA$35)-AA$36-$B138/Assumptions!$B$31)*Assumptions!$B$33))</f>
        <v>7.2108421984026503</v>
      </c>
      <c r="AB138" s="105">
        <f>IF(AB$34=0,-$B138,IF(AB$34&gt;Assumptions!$B$20,0,($D138*$E138*AB$35)-AB$36-MAX(0,($D138*$E138*AB$35)-AB$36-$B138/Assumptions!$B$31)*Assumptions!$B$33))</f>
        <v>7.2829291748070668</v>
      </c>
    </row>
    <row r="139" spans="1:28" outlineLevel="1" x14ac:dyDescent="0.3">
      <c r="A139" s="100">
        <f t="shared" si="9"/>
        <v>48</v>
      </c>
      <c r="B139" s="102" cm="1">
        <f t="array" ref="B139">INDEX($M$11:$S$11,MOD(ROW()-92,7)+1)</f>
        <v>70</v>
      </c>
      <c r="C139" s="101" cm="1">
        <f t="array" ref="C139">INDEX($L$12:$L$18,ROUNDUP((ROW()-91)/7,0))</f>
        <v>0.25500000000000006</v>
      </c>
      <c r="D139" s="102">
        <f>Assumptions!$B$10*$C139</f>
        <v>111.69000000000003</v>
      </c>
      <c r="E139" s="103">
        <f>Assumptions!$B$23</f>
        <v>7.4999999999999997E-2</v>
      </c>
      <c r="F139" s="101">
        <f t="shared" si="10"/>
        <v>6.899048130411134E-2</v>
      </c>
      <c r="H139" s="105">
        <f>IF(H$34=0,-$B139,IF(H$34&gt;Assumptions!$B$20,0,($D139*$E139*H$35)-H$36-MAX(0,($D139*$E139*H$35)-H$36-$B139/Assumptions!$B$31)*Assumptions!$B$33))</f>
        <v>-70</v>
      </c>
      <c r="I139" s="105">
        <f>IF(I$34=0,-$B139,IF(I$34&gt;Assumptions!$B$20,0,($D139*$E139*I$35)-I$36-MAX(0,($D139*$E139*I$35)-I$36-$B139/Assumptions!$B$31)*Assumptions!$B$33))</f>
        <v>6.0737250000000005</v>
      </c>
      <c r="J139" s="105">
        <f>IF(J$34=0,-$B139,IF(J$34&gt;Assumptions!$B$20,0,($D139*$E139*J$35)-J$36-MAX(0,($D139*$E139*J$35)-J$36-$B139/Assumptions!$B$31)*Assumptions!$B$33))</f>
        <v>6.1364808750000002</v>
      </c>
      <c r="K139" s="105">
        <f>IF(K$34=0,-$B139,IF(K$34&gt;Assumptions!$B$20,0,($D139*$E139*K$35)-K$36-MAX(0,($D139*$E139*K$35)-K$36-$B139/Assumptions!$B$31)*Assumptions!$B$33))</f>
        <v>6.1998000881249986</v>
      </c>
      <c r="L139" s="105">
        <f>IF(L$34=0,-$B139,IF(L$34&gt;Assumptions!$B$20,0,($D139*$E139*L$35)-L$36-MAX(0,($D139*$E139*L$35)-L$36-$B139/Assumptions!$B$31)*Assumptions!$B$33))</f>
        <v>6.2636797494468741</v>
      </c>
      <c r="M139" s="105">
        <f>IF(M$34=0,-$B139,IF(M$34&gt;Assumptions!$B$20,0,($D139*$E139*M$35)-M$36-MAX(0,($D139*$E139*M$35)-M$36-$B139/Assumptions!$B$31)*Assumptions!$B$33))</f>
        <v>6.3281165854885764</v>
      </c>
      <c r="N139" s="105">
        <f>IF(N$34=0,-$B139,IF(N$34&gt;Assumptions!$B$20,0,($D139*$E139*N$35)-N$36-MAX(0,($D139*$E139*N$35)-N$36-$B139/Assumptions!$B$31)*Assumptions!$B$33))</f>
        <v>6.393106923264904</v>
      </c>
      <c r="O139" s="105">
        <f>IF(O$34=0,-$B139,IF(O$34&gt;Assumptions!$B$20,0,($D139*$E139*O$35)-O$36-MAX(0,($D139*$E139*O$35)-O$36-$B139/Assumptions!$B$31)*Assumptions!$B$33))</f>
        <v>6.4586466737776957</v>
      </c>
      <c r="P139" s="105">
        <f>IF(P$34=0,-$B139,IF(P$34&gt;Assumptions!$B$20,0,($D139*$E139*P$35)-P$36-MAX(0,($D139*$E139*P$35)-P$36-$B139/Assumptions!$B$31)*Assumptions!$B$33))</f>
        <v>6.5247313149480943</v>
      </c>
      <c r="Q139" s="105">
        <f>IF(Q$34=0,-$B139,IF(Q$34&gt;Assumptions!$B$20,0,($D139*$E139*Q$35)-Q$36-MAX(0,($D139*$E139*Q$35)-Q$36-$B139/Assumptions!$B$31)*Assumptions!$B$33))</f>
        <v>6.5913558739679621</v>
      </c>
      <c r="R139" s="105">
        <f>IF(R$34=0,-$B139,IF(R$34&gt;Assumptions!$B$20,0,($D139*$E139*R$35)-R$36-MAX(0,($D139*$E139*R$35)-R$36-$B139/Assumptions!$B$31)*Assumptions!$B$33))</f>
        <v>6.6585149090519975</v>
      </c>
      <c r="S139" s="105">
        <f>IF(S$34=0,-$B139,IF(S$34&gt;Assumptions!$B$20,0,($D139*$E139*S$35)-S$36-MAX(0,($D139*$E139*S$35)-S$36-$B139/Assumptions!$B$31)*Assumptions!$B$33))</f>
        <v>6.7262024905715272</v>
      </c>
      <c r="T139" s="105">
        <f>IF(T$34=0,-$B139,IF(T$34&gt;Assumptions!$B$20,0,($D139*$E139*T$35)-T$36-MAX(0,($D139*$E139*T$35)-T$36-$B139/Assumptions!$B$31)*Assumptions!$B$33))</f>
        <v>6.7944121815503635</v>
      </c>
      <c r="U139" s="105">
        <f>IF(U$34=0,-$B139,IF(U$34&gt;Assumptions!$B$20,0,($D139*$E139*U$35)-U$36-MAX(0,($D139*$E139*U$35)-U$36-$B139/Assumptions!$B$31)*Assumptions!$B$33))</f>
        <v>6.8631370175024893</v>
      </c>
      <c r="V139" s="105">
        <f>IF(V$34=0,-$B139,IF(V$34&gt;Assumptions!$B$20,0,($D139*$E139*V$35)-V$36-MAX(0,($D139*$E139*V$35)-V$36-$B139/Assumptions!$B$31)*Assumptions!$B$33))</f>
        <v>6.9323694855907663</v>
      </c>
      <c r="W139" s="105">
        <f>IF(W$34=0,-$B139,IF(W$34&gt;Assumptions!$B$20,0,($D139*$E139*W$35)-W$36-MAX(0,($D139*$E139*W$35)-W$36-$B139/Assumptions!$B$31)*Assumptions!$B$33))</f>
        <v>7.002101503085135</v>
      </c>
      <c r="X139" s="105">
        <f>IF(X$34=0,-$B139,IF(X$34&gt;Assumptions!$B$20,0,($D139*$E139*X$35)-X$36-MAX(0,($D139*$E139*X$35)-X$36-$B139/Assumptions!$B$31)*Assumptions!$B$33))</f>
        <v>7.0723243950982368</v>
      </c>
      <c r="Y139" s="105">
        <f>IF(Y$34=0,-$B139,IF(Y$34&gt;Assumptions!$B$20,0,($D139*$E139*Y$35)-Y$36-MAX(0,($D139*$E139*Y$35)-Y$36-$B139/Assumptions!$B$31)*Assumptions!$B$33))</f>
        <v>7.1430288715755399</v>
      </c>
      <c r="Z139" s="105">
        <f>IF(Z$34=0,-$B139,IF(Z$34&gt;Assumptions!$B$20,0,($D139*$E139*Z$35)-Z$36-MAX(0,($D139*$E139*Z$35)-Z$36-$B139/Assumptions!$B$31)*Assumptions!$B$33))</f>
        <v>7.2142050035165282</v>
      </c>
      <c r="AA139" s="105">
        <f>IF(AA$34=0,-$B139,IF(AA$34&gt;Assumptions!$B$20,0,($D139*$E139*AA$35)-AA$36-MAX(0,($D139*$E139*AA$35)-AA$36-$B139/Assumptions!$B$31)*Assumptions!$B$33))</f>
        <v>7.2858421984026505</v>
      </c>
      <c r="AB139" s="105">
        <f>IF(AB$34=0,-$B139,IF(AB$34&gt;Assumptions!$B$20,0,($D139*$E139*AB$35)-AB$36-MAX(0,($D139*$E139*AB$35)-AB$36-$B139/Assumptions!$B$31)*Assumptions!$B$33))</f>
        <v>7.357929174807067</v>
      </c>
    </row>
    <row r="140" spans="1:28" outlineLevel="1" x14ac:dyDescent="0.3">
      <c r="A140" s="100">
        <f t="shared" si="9"/>
        <v>49</v>
      </c>
      <c r="B140" s="102" cm="1">
        <f t="array" ref="B140">INDEX($M$11:$S$11,MOD(ROW()-92,7)+1)</f>
        <v>75</v>
      </c>
      <c r="C140" s="101" cm="1">
        <f t="array" ref="C140">INDEX($L$12:$L$18,ROUNDUP((ROW()-91)/7,0))</f>
        <v>0.25500000000000006</v>
      </c>
      <c r="D140" s="102">
        <f>Assumptions!$B$10*$C140</f>
        <v>111.69000000000003</v>
      </c>
      <c r="E140" s="103">
        <f>Assumptions!$B$23</f>
        <v>7.4999999999999997E-2</v>
      </c>
      <c r="F140" s="101">
        <f t="shared" si="10"/>
        <v>6.197996436872244E-2</v>
      </c>
      <c r="H140" s="105">
        <f>IF(H$34=0,-$B140,IF(H$34&gt;Assumptions!$B$20,0,($D140*$E140*H$35)-H$36-MAX(0,($D140*$E140*H$35)-H$36-$B140/Assumptions!$B$31)*Assumptions!$B$33))</f>
        <v>-75</v>
      </c>
      <c r="I140" s="105">
        <f>IF(I$34=0,-$B140,IF(I$34&gt;Assumptions!$B$20,0,($D140*$E140*I$35)-I$36-MAX(0,($D140*$E140*I$35)-I$36-$B140/Assumptions!$B$31)*Assumptions!$B$33))</f>
        <v>6.1487250000000007</v>
      </c>
      <c r="J140" s="105">
        <f>IF(J$34=0,-$B140,IF(J$34&gt;Assumptions!$B$20,0,($D140*$E140*J$35)-J$36-MAX(0,($D140*$E140*J$35)-J$36-$B140/Assumptions!$B$31)*Assumptions!$B$33))</f>
        <v>6.2114808750000003</v>
      </c>
      <c r="K140" s="105">
        <f>IF(K$34=0,-$B140,IF(K$34&gt;Assumptions!$B$20,0,($D140*$E140*K$35)-K$36-MAX(0,($D140*$E140*K$35)-K$36-$B140/Assumptions!$B$31)*Assumptions!$B$33))</f>
        <v>6.2748000881249988</v>
      </c>
      <c r="L140" s="105">
        <f>IF(L$34=0,-$B140,IF(L$34&gt;Assumptions!$B$20,0,($D140*$E140*L$35)-L$36-MAX(0,($D140*$E140*L$35)-L$36-$B140/Assumptions!$B$31)*Assumptions!$B$33))</f>
        <v>6.3386797494468743</v>
      </c>
      <c r="M140" s="105">
        <f>IF(M$34=0,-$B140,IF(M$34&gt;Assumptions!$B$20,0,($D140*$E140*M$35)-M$36-MAX(0,($D140*$E140*M$35)-M$36-$B140/Assumptions!$B$31)*Assumptions!$B$33))</f>
        <v>6.4031165854885757</v>
      </c>
      <c r="N140" s="105">
        <f>IF(N$34=0,-$B140,IF(N$34&gt;Assumptions!$B$20,0,($D140*$E140*N$35)-N$36-MAX(0,($D140*$E140*N$35)-N$36-$B140/Assumptions!$B$31)*Assumptions!$B$33))</f>
        <v>6.4681069232649042</v>
      </c>
      <c r="O140" s="105">
        <f>IF(O$34=0,-$B140,IF(O$34&gt;Assumptions!$B$20,0,($D140*$E140*O$35)-O$36-MAX(0,($D140*$E140*O$35)-O$36-$B140/Assumptions!$B$31)*Assumptions!$B$33))</f>
        <v>6.5336466737776959</v>
      </c>
      <c r="P140" s="105">
        <f>IF(P$34=0,-$B140,IF(P$34&gt;Assumptions!$B$20,0,($D140*$E140*P$35)-P$36-MAX(0,($D140*$E140*P$35)-P$36-$B140/Assumptions!$B$31)*Assumptions!$B$33))</f>
        <v>6.5997313149480945</v>
      </c>
      <c r="Q140" s="105">
        <f>IF(Q$34=0,-$B140,IF(Q$34&gt;Assumptions!$B$20,0,($D140*$E140*Q$35)-Q$36-MAX(0,($D140*$E140*Q$35)-Q$36-$B140/Assumptions!$B$31)*Assumptions!$B$33))</f>
        <v>6.6663558739679623</v>
      </c>
      <c r="R140" s="105">
        <f>IF(R$34=0,-$B140,IF(R$34&gt;Assumptions!$B$20,0,($D140*$E140*R$35)-R$36-MAX(0,($D140*$E140*R$35)-R$36-$B140/Assumptions!$B$31)*Assumptions!$B$33))</f>
        <v>6.7335149090519977</v>
      </c>
      <c r="S140" s="105">
        <f>IF(S$34=0,-$B140,IF(S$34&gt;Assumptions!$B$20,0,($D140*$E140*S$35)-S$36-MAX(0,($D140*$E140*S$35)-S$36-$B140/Assumptions!$B$31)*Assumptions!$B$33))</f>
        <v>6.8012024905715274</v>
      </c>
      <c r="T140" s="105">
        <f>IF(T$34=0,-$B140,IF(T$34&gt;Assumptions!$B$20,0,($D140*$E140*T$35)-T$36-MAX(0,($D140*$E140*T$35)-T$36-$B140/Assumptions!$B$31)*Assumptions!$B$33))</f>
        <v>6.8694121815503637</v>
      </c>
      <c r="U140" s="105">
        <f>IF(U$34=0,-$B140,IF(U$34&gt;Assumptions!$B$20,0,($D140*$E140*U$35)-U$36-MAX(0,($D140*$E140*U$35)-U$36-$B140/Assumptions!$B$31)*Assumptions!$B$33))</f>
        <v>6.9381370175024895</v>
      </c>
      <c r="V140" s="105">
        <f>IF(V$34=0,-$B140,IF(V$34&gt;Assumptions!$B$20,0,($D140*$E140*V$35)-V$36-MAX(0,($D140*$E140*V$35)-V$36-$B140/Assumptions!$B$31)*Assumptions!$B$33))</f>
        <v>7.0073694855907664</v>
      </c>
      <c r="W140" s="105">
        <f>IF(W$34=0,-$B140,IF(W$34&gt;Assumptions!$B$20,0,($D140*$E140*W$35)-W$36-MAX(0,($D140*$E140*W$35)-W$36-$B140/Assumptions!$B$31)*Assumptions!$B$33))</f>
        <v>7.0771015030851352</v>
      </c>
      <c r="X140" s="105">
        <f>IF(X$34=0,-$B140,IF(X$34&gt;Assumptions!$B$20,0,($D140*$E140*X$35)-X$36-MAX(0,($D140*$E140*X$35)-X$36-$B140/Assumptions!$B$31)*Assumptions!$B$33))</f>
        <v>7.147324395098237</v>
      </c>
      <c r="Y140" s="105">
        <f>IF(Y$34=0,-$B140,IF(Y$34&gt;Assumptions!$B$20,0,($D140*$E140*Y$35)-Y$36-MAX(0,($D140*$E140*Y$35)-Y$36-$B140/Assumptions!$B$31)*Assumptions!$B$33))</f>
        <v>7.2180288715755392</v>
      </c>
      <c r="Z140" s="105">
        <f>IF(Z$34=0,-$B140,IF(Z$34&gt;Assumptions!$B$20,0,($D140*$E140*Z$35)-Z$36-MAX(0,($D140*$E140*Z$35)-Z$36-$B140/Assumptions!$B$31)*Assumptions!$B$33))</f>
        <v>7.2892050035165283</v>
      </c>
      <c r="AA140" s="105">
        <f>IF(AA$34=0,-$B140,IF(AA$34&gt;Assumptions!$B$20,0,($D140*$E140*AA$35)-AA$36-MAX(0,($D140*$E140*AA$35)-AA$36-$B140/Assumptions!$B$31)*Assumptions!$B$33))</f>
        <v>7.3608421984026506</v>
      </c>
      <c r="AB140" s="105">
        <f>IF(AB$34=0,-$B140,IF(AB$34&gt;Assumptions!$B$20,0,($D140*$E140*AB$35)-AB$36-MAX(0,($D140*$E140*AB$35)-AB$36-$B140/Assumptions!$B$31)*Assumptions!$B$33))</f>
        <v>7.4329291748070672</v>
      </c>
    </row>
    <row r="141" spans="1:28" outlineLevel="1" x14ac:dyDescent="0.3"/>
  </sheetData>
  <conditionalFormatting sqref="C12:I18">
    <cfRule type="colorScale" priority="1">
      <colorScale>
        <cfvo type="min"/>
        <cfvo type="percentile" val="50"/>
        <cfvo type="max"/>
        <color rgb="FFF8696B"/>
        <color rgb="FFFFEB84"/>
        <color rgb="FF63BE7B"/>
      </colorScale>
    </cfRule>
  </conditionalFormatting>
  <conditionalFormatting sqref="C24:I30">
    <cfRule type="colorScale" priority="2">
      <colorScale>
        <cfvo type="min"/>
        <cfvo type="percentile" val="50"/>
        <cfvo type="max"/>
        <color rgb="FFF8696B"/>
        <color rgb="FFFFEB84"/>
        <color rgb="FF63BE7B"/>
      </colorScale>
    </cfRule>
  </conditionalFormatting>
  <conditionalFormatting sqref="M12:S18">
    <cfRule type="colorScale" priority="3">
      <colorScale>
        <cfvo type="min"/>
        <cfvo type="percentile" val="50"/>
        <cfvo type="max"/>
        <color rgb="FFF8696B"/>
        <color rgb="FFFFEB84"/>
        <color rgb="FF63BE7B"/>
      </colorScale>
    </cfRule>
  </conditionalFormatting>
  <pageMargins left="0.7" right="0.7" top="0.75" bottom="0.75" header="0.3" footer="0.3"/>
  <pageSetup paperSize="0" firstPageNumber="0" fitToHeight="0" orientation="landscape"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BDB6-C26F-434F-A0BD-9CBFFEE40FAC}">
  <sheetPr>
    <tabColor rgb="FF548235"/>
    <pageSetUpPr fitToPage="1"/>
  </sheetPr>
  <dimension ref="A1:K80"/>
  <sheetViews>
    <sheetView tabSelected="1" workbookViewId="0">
      <selection activeCell="G25" sqref="G25"/>
    </sheetView>
  </sheetViews>
  <sheetFormatPr defaultRowHeight="14.4" outlineLevelRow="1" x14ac:dyDescent="0.3"/>
  <cols>
    <col min="1" max="1" width="57.109375" customWidth="1"/>
    <col min="2" max="3" width="17.109375" customWidth="1"/>
    <col min="4" max="4" width="3.88671875" customWidth="1"/>
    <col min="5" max="11" width="17.109375" customWidth="1"/>
  </cols>
  <sheetData>
    <row r="1" spans="1:3" ht="21" x14ac:dyDescent="0.4">
      <c r="A1" s="1" t="s">
        <v>308</v>
      </c>
    </row>
    <row r="2" spans="1:3" x14ac:dyDescent="0.3">
      <c r="A2" s="30" t="s">
        <v>259</v>
      </c>
    </row>
    <row r="4" spans="1:3" x14ac:dyDescent="0.3">
      <c r="A4" s="4" t="s">
        <v>260</v>
      </c>
      <c r="B4" s="5" t="s">
        <v>5</v>
      </c>
      <c r="C4" s="5" t="s">
        <v>4</v>
      </c>
    </row>
    <row r="5" spans="1:3" x14ac:dyDescent="0.3">
      <c r="A5" t="s">
        <v>7</v>
      </c>
      <c r="B5" s="37" t="s">
        <v>8</v>
      </c>
      <c r="C5" s="110">
        <f>Assumptions!$B$7</f>
        <v>50</v>
      </c>
    </row>
    <row r="6" spans="1:3" x14ac:dyDescent="0.3">
      <c r="A6" t="s">
        <v>19</v>
      </c>
      <c r="B6" s="37" t="s">
        <v>17</v>
      </c>
      <c r="C6" s="110">
        <f>Assumptions!$B$11</f>
        <v>91.97999999999999</v>
      </c>
    </row>
    <row r="7" spans="1:3" x14ac:dyDescent="0.3">
      <c r="A7" t="s">
        <v>261</v>
      </c>
      <c r="B7" s="37" t="s">
        <v>25</v>
      </c>
      <c r="C7" s="110">
        <f>Assumptions!$B$15</f>
        <v>60</v>
      </c>
    </row>
    <row r="8" spans="1:3" x14ac:dyDescent="0.3">
      <c r="A8" t="s">
        <v>262</v>
      </c>
      <c r="B8" s="37" t="s">
        <v>25</v>
      </c>
      <c r="C8" s="69">
        <f>Model!$D$12</f>
        <v>6.8984999999999994</v>
      </c>
    </row>
    <row r="9" spans="1:3" x14ac:dyDescent="0.3">
      <c r="A9" t="s">
        <v>263</v>
      </c>
      <c r="B9" s="37" t="s">
        <v>25</v>
      </c>
      <c r="C9" s="69">
        <f>Model!$D$17</f>
        <v>5.6984999999999992</v>
      </c>
    </row>
    <row r="10" spans="1:3" x14ac:dyDescent="0.3">
      <c r="A10" t="s">
        <v>264</v>
      </c>
      <c r="B10" s="37" t="s">
        <v>25</v>
      </c>
      <c r="C10" s="69">
        <f>Model!$D$34</f>
        <v>4.8889499999999995</v>
      </c>
    </row>
    <row r="11" spans="1:3" x14ac:dyDescent="0.3">
      <c r="A11" t="s">
        <v>265</v>
      </c>
      <c r="B11" s="37" t="s">
        <v>25</v>
      </c>
      <c r="C11" s="15">
        <f>AVERAGE(Model!$D$34:$W$34)</f>
        <v>5.3545958843957884</v>
      </c>
    </row>
    <row r="12" spans="1:3" x14ac:dyDescent="0.3">
      <c r="A12" t="s">
        <v>130</v>
      </c>
      <c r="B12" s="37" t="s">
        <v>17</v>
      </c>
      <c r="C12" s="111">
        <f>Model!$C$49</f>
        <v>1839.6000000000001</v>
      </c>
    </row>
    <row r="13" spans="1:3" x14ac:dyDescent="0.3">
      <c r="A13" s="12" t="s">
        <v>266</v>
      </c>
      <c r="B13" s="37" t="s">
        <v>14</v>
      </c>
      <c r="C13" s="112">
        <f>Model!$C$43</f>
        <v>6.0665744754367479E-2</v>
      </c>
    </row>
    <row r="14" spans="1:3" x14ac:dyDescent="0.3">
      <c r="A14" s="12" t="s">
        <v>267</v>
      </c>
      <c r="B14" s="37" t="s">
        <v>25</v>
      </c>
      <c r="C14" s="113">
        <f>Model!$C$44</f>
        <v>-15.678690957471437</v>
      </c>
    </row>
    <row r="15" spans="1:3" x14ac:dyDescent="0.3">
      <c r="A15" t="s">
        <v>268</v>
      </c>
      <c r="B15" s="37" t="s">
        <v>39</v>
      </c>
      <c r="C15" s="114">
        <f>Model!$C$47</f>
        <v>12</v>
      </c>
    </row>
    <row r="17" spans="1:3" x14ac:dyDescent="0.3">
      <c r="A17" s="21" t="s">
        <v>317</v>
      </c>
      <c r="B17" s="22" t="s">
        <v>5</v>
      </c>
      <c r="C17" s="22" t="s">
        <v>4</v>
      </c>
    </row>
    <row r="18" spans="1:3" x14ac:dyDescent="0.3">
      <c r="A18" t="s">
        <v>269</v>
      </c>
      <c r="B18" s="37" t="s">
        <v>25</v>
      </c>
      <c r="C18" s="69">
        <f>Debt!$C$16</f>
        <v>42</v>
      </c>
    </row>
    <row r="19" spans="1:3" x14ac:dyDescent="0.3">
      <c r="A19" t="s">
        <v>270</v>
      </c>
      <c r="B19" s="37" t="s">
        <v>25</v>
      </c>
      <c r="C19" s="69">
        <f>Debt!$C$15</f>
        <v>33.97383475802215</v>
      </c>
    </row>
    <row r="20" spans="1:3" x14ac:dyDescent="0.3">
      <c r="A20" s="70" t="s">
        <v>151</v>
      </c>
      <c r="B20" s="73"/>
      <c r="C20" s="115" t="str">
        <f>Debt!$C$18</f>
        <v>DSCR covenant binds</v>
      </c>
    </row>
    <row r="21" spans="1:3" x14ac:dyDescent="0.3">
      <c r="A21" s="12" t="s">
        <v>271</v>
      </c>
      <c r="B21" s="37" t="s">
        <v>25</v>
      </c>
      <c r="C21" s="116">
        <f>Debt!$C$26</f>
        <v>33.97383475802215</v>
      </c>
    </row>
    <row r="22" spans="1:3" x14ac:dyDescent="0.3">
      <c r="A22" s="12" t="s">
        <v>272</v>
      </c>
      <c r="B22" s="37" t="s">
        <v>25</v>
      </c>
      <c r="C22" s="116">
        <f>Debt!$C$27</f>
        <v>27.906530626593238</v>
      </c>
    </row>
    <row r="23" spans="1:3" x14ac:dyDescent="0.3">
      <c r="A23" t="s">
        <v>273</v>
      </c>
      <c r="B23" s="37" t="s">
        <v>25</v>
      </c>
      <c r="C23" s="69">
        <f>Debt!$C$31</f>
        <v>1.8803653846153843</v>
      </c>
    </row>
    <row r="24" spans="1:3" x14ac:dyDescent="0.3">
      <c r="A24" t="s">
        <v>274</v>
      </c>
      <c r="B24" s="37" t="s">
        <v>25</v>
      </c>
      <c r="C24" s="69">
        <f>Debt!$C$28</f>
        <v>61.880365384615388</v>
      </c>
    </row>
    <row r="25" spans="1:3" x14ac:dyDescent="0.3">
      <c r="A25" t="s">
        <v>275</v>
      </c>
      <c r="B25" s="37" t="s">
        <v>14</v>
      </c>
      <c r="C25" s="117">
        <f>Debt!$C$19</f>
        <v>0.56623057930036913</v>
      </c>
    </row>
    <row r="26" spans="1:3" x14ac:dyDescent="0.3">
      <c r="A26" t="s">
        <v>276</v>
      </c>
      <c r="B26" s="37" t="s">
        <v>25</v>
      </c>
      <c r="C26" s="69">
        <f>Debt!$C$22</f>
        <v>8.02616524197785</v>
      </c>
    </row>
    <row r="28" spans="1:3" x14ac:dyDescent="0.3">
      <c r="A28" s="27" t="s">
        <v>277</v>
      </c>
      <c r="B28" s="50" t="s">
        <v>5</v>
      </c>
      <c r="C28" s="50" t="s">
        <v>4</v>
      </c>
    </row>
    <row r="29" spans="1:3" x14ac:dyDescent="0.3">
      <c r="A29" s="12" t="s">
        <v>278</v>
      </c>
      <c r="B29" s="37" t="s">
        <v>14</v>
      </c>
      <c r="C29" s="112">
        <f>Debt!$C$67</f>
        <v>6.0358842520979783E-2</v>
      </c>
    </row>
    <row r="30" spans="1:3" x14ac:dyDescent="0.3">
      <c r="A30" t="s">
        <v>279</v>
      </c>
      <c r="B30" s="37" t="s">
        <v>14</v>
      </c>
      <c r="C30" s="87">
        <f>Model!$C$43</f>
        <v>6.0665744754367479E-2</v>
      </c>
    </row>
    <row r="31" spans="1:3" x14ac:dyDescent="0.3">
      <c r="A31" t="s">
        <v>280</v>
      </c>
      <c r="B31" s="37" t="s">
        <v>220</v>
      </c>
      <c r="C31" s="118">
        <f>(C29-C30)*100</f>
        <v>-3.0690223338769584E-2</v>
      </c>
    </row>
    <row r="32" spans="1:3" x14ac:dyDescent="0.3">
      <c r="A32" t="s">
        <v>203</v>
      </c>
      <c r="B32" s="37" t="s">
        <v>69</v>
      </c>
      <c r="C32" s="119">
        <f>Debt!$C$74</f>
        <v>2.1729641822190939</v>
      </c>
    </row>
    <row r="33" spans="1:11" x14ac:dyDescent="0.3">
      <c r="A33" s="12" t="s">
        <v>281</v>
      </c>
      <c r="B33" s="37" t="s">
        <v>69</v>
      </c>
      <c r="C33" s="120" t="e">
        <f ca="1">Debt!$C$69</f>
        <v>#NAME?</v>
      </c>
    </row>
    <row r="34" spans="1:11" x14ac:dyDescent="0.3">
      <c r="A34" s="12" t="s">
        <v>282</v>
      </c>
      <c r="B34" s="37" t="s">
        <v>69</v>
      </c>
      <c r="C34" s="120">
        <f>Debt!$C$70</f>
        <v>1.3000000000000003</v>
      </c>
    </row>
    <row r="35" spans="1:11" x14ac:dyDescent="0.3">
      <c r="A35" t="s">
        <v>318</v>
      </c>
      <c r="B35" s="37" t="s">
        <v>69</v>
      </c>
      <c r="C35" s="119">
        <f>Assumptions!$B$40</f>
        <v>1.3</v>
      </c>
    </row>
    <row r="36" spans="1:11" x14ac:dyDescent="0.3">
      <c r="A36" t="s">
        <v>283</v>
      </c>
      <c r="B36" s="37" t="s">
        <v>69</v>
      </c>
      <c r="C36" s="54" t="e">
        <f ca="1">C33-C35</f>
        <v>#NAME?</v>
      </c>
    </row>
    <row r="37" spans="1:11" x14ac:dyDescent="0.3">
      <c r="A37" t="s">
        <v>200</v>
      </c>
      <c r="B37" s="37" t="s">
        <v>201</v>
      </c>
      <c r="C37" s="114">
        <f>Debt!$C$72</f>
        <v>12</v>
      </c>
    </row>
    <row r="38" spans="1:11" x14ac:dyDescent="0.3">
      <c r="A38" t="s">
        <v>284</v>
      </c>
      <c r="B38" s="37" t="s">
        <v>39</v>
      </c>
      <c r="C38" s="114">
        <f>Debt!$C$73</f>
        <v>3</v>
      </c>
    </row>
    <row r="39" spans="1:11" x14ac:dyDescent="0.3">
      <c r="A39" t="s">
        <v>285</v>
      </c>
      <c r="B39" s="37" t="s">
        <v>78</v>
      </c>
      <c r="C39" s="121" t="str">
        <f>IF(AND(Model!$C$46="ok",Debt!$C$34="ok",Debt!$C$76="ok",Debt!$C$77="ok"),"ALL CHECKS PASS","REVIEW REQUIRED")</f>
        <v>ALL CHECKS PASS</v>
      </c>
    </row>
    <row r="41" spans="1:11" outlineLevel="1" x14ac:dyDescent="0.3">
      <c r="A41" s="98" t="s">
        <v>286</v>
      </c>
    </row>
    <row r="42" spans="1:11" outlineLevel="1" x14ac:dyDescent="0.3">
      <c r="A42" s="121" t="s">
        <v>287</v>
      </c>
      <c r="B42" s="121" t="s">
        <v>187</v>
      </c>
      <c r="C42" s="121" t="s">
        <v>288</v>
      </c>
      <c r="E42" s="121" t="s">
        <v>287</v>
      </c>
      <c r="F42" s="121" t="s">
        <v>289</v>
      </c>
      <c r="G42" s="121" t="s">
        <v>290</v>
      </c>
      <c r="H42" s="121" t="s">
        <v>291</v>
      </c>
      <c r="I42" s="121" t="s">
        <v>287</v>
      </c>
      <c r="J42" s="121" t="s">
        <v>292</v>
      </c>
      <c r="K42" s="121" t="s">
        <v>293</v>
      </c>
    </row>
    <row r="43" spans="1:11" outlineLevel="1" x14ac:dyDescent="0.3">
      <c r="A43" s="100">
        <v>1</v>
      </c>
      <c r="B43" s="122" cm="1">
        <f t="array" ref="B43">INDEX(Model!$D$34:$W$34,$A43)</f>
        <v>4.8889499999999995</v>
      </c>
      <c r="C43" s="122" cm="1">
        <f t="array" ref="C43">INDEX(Debt!$D$47:$W$47,$A43)</f>
        <v>4.324840384615384</v>
      </c>
      <c r="E43" s="100">
        <f>$A43</f>
        <v>1</v>
      </c>
      <c r="F43" s="122" cm="1">
        <f t="array" ref="F43">IF(INDEX(Debt!$D$48:$W$48,$A43)=0,NA(),INDEX(Debt!$D$48:$W$48,$A43))</f>
        <v>1.3</v>
      </c>
      <c r="G43" s="122">
        <f>IF(ISNA(F43),NA(),Assumptions!$B$40)</f>
        <v>1.3</v>
      </c>
      <c r="H43" s="122" cm="1">
        <f t="array" ref="H43">IF(INDEX(Debt!$D$49:$W$49,$A43)=0,NA(),INDEX(Debt!$D$49:$W$49,$A43))</f>
        <v>1.1304347826086958</v>
      </c>
      <c r="I43" s="100">
        <f>$A43</f>
        <v>1</v>
      </c>
      <c r="J43" s="122" cm="1">
        <f t="array" ref="J43">INDEX(Debt!$D$46:$W$46,$A43)</f>
        <v>32.366901154048541</v>
      </c>
      <c r="K43" s="122" cm="1">
        <f t="array" ref="K43">INDEX(Debt!$D$63:$W$63,$A43)</f>
        <v>1.3554925961538464</v>
      </c>
    </row>
    <row r="44" spans="1:11" outlineLevel="1" x14ac:dyDescent="0.3">
      <c r="A44" s="100">
        <f>A43+1</f>
        <v>2</v>
      </c>
      <c r="B44" s="122" cm="1">
        <f t="array" ref="B44">INDEX(Model!$D$34:$W$34,$A44)</f>
        <v>4.9361842499999984</v>
      </c>
      <c r="C44" s="122" cm="1">
        <f t="array" ref="C44">INDEX(Debt!$D$47:$W$47,$A44)</f>
        <v>4.3666245288461525</v>
      </c>
      <c r="E44" s="100">
        <f t="shared" ref="E44:E62" si="0">$A44</f>
        <v>2</v>
      </c>
      <c r="F44" s="122" cm="1">
        <f t="array" ref="F44">IF(INDEX(Debt!$D$48:$W$48,$A44)=0,NA(),INDEX(Debt!$D$48:$W$48,$A44))</f>
        <v>1.3</v>
      </c>
      <c r="G44" s="122">
        <f>IF(ISNA(F44),NA(),Assumptions!$B$40)</f>
        <v>1.3</v>
      </c>
      <c r="H44" s="122" cm="1">
        <f t="array" ref="H44">IF(INDEX(Debt!$D$49:$W$49,$A44)=0,NA(),INDEX(Debt!$D$49:$W$49,$A44))</f>
        <v>1.1304347826086956</v>
      </c>
      <c r="I44" s="100">
        <f t="shared" ref="I44:I62" si="1">$A44</f>
        <v>2</v>
      </c>
      <c r="J44" s="122" cm="1">
        <f t="array" ref="J44">INDEX(Debt!$D$46:$W$46,$A44)</f>
        <v>30.589628717526274</v>
      </c>
      <c r="K44" s="122" cm="1">
        <f t="array" ref="K44">INDEX(Debt!$D$63:$W$63,$A44)</f>
        <v>1.3280712089471647</v>
      </c>
    </row>
    <row r="45" spans="1:11" outlineLevel="1" x14ac:dyDescent="0.3">
      <c r="A45" s="100">
        <f t="shared" ref="A45:A62" si="2">A44+1</f>
        <v>3</v>
      </c>
      <c r="B45" s="122" cm="1">
        <f t="array" ref="B45">INDEX(Model!$D$34:$W$34,$A45)</f>
        <v>4.983749013749998</v>
      </c>
      <c r="C45" s="122" cm="1">
        <f t="array" ref="C45">INDEX(Debt!$D$47:$W$47,$A45)</f>
        <v>4.4087010506249982</v>
      </c>
      <c r="E45" s="100">
        <f t="shared" si="0"/>
        <v>3</v>
      </c>
      <c r="F45" s="122" cm="1">
        <f t="array" ref="F45">IF(INDEX(Debt!$D$48:$W$48,$A45)=0,NA(),INDEX(Debt!$D$48:$W$48,$A45))</f>
        <v>1.3</v>
      </c>
      <c r="G45" s="122">
        <f>IF(ISNA(F45),NA(),Assumptions!$B$40)</f>
        <v>1.3</v>
      </c>
      <c r="H45" s="122" cm="1">
        <f t="array" ref="H45">IF(INDEX(Debt!$D$49:$W$49,$A45)=0,NA(),INDEX(Debt!$D$49:$W$49,$A45))</f>
        <v>1.1304347826086956</v>
      </c>
      <c r="I45" s="100">
        <f t="shared" si="1"/>
        <v>3</v>
      </c>
      <c r="J45" s="122" cm="1">
        <f t="array" ref="J45">INDEX(Debt!$D$46:$W$46,$A45)</f>
        <v>28.628097964303379</v>
      </c>
      <c r="K45" s="122" cm="1">
        <f t="array" ref="K45">INDEX(Debt!$D$63:$W$63,$A45)</f>
        <v>1.2907802464970728</v>
      </c>
    </row>
    <row r="46" spans="1:11" outlineLevel="1" x14ac:dyDescent="0.3">
      <c r="A46" s="100">
        <f t="shared" si="2"/>
        <v>4</v>
      </c>
      <c r="B46" s="122" cm="1">
        <f t="array" ref="B46">INDEX(Model!$D$34:$W$34,$A46)</f>
        <v>5.031637908956248</v>
      </c>
      <c r="C46" s="122" cm="1">
        <f t="array" ref="C46">INDEX(Debt!$D$47:$W$47,$A46)</f>
        <v>4.4510643040766809</v>
      </c>
      <c r="E46" s="100">
        <f t="shared" si="0"/>
        <v>4</v>
      </c>
      <c r="F46" s="122" cm="1">
        <f t="array" ref="F46">IF(INDEX(Debt!$D$48:$W$48,$A46)=0,NA(),INDEX(Debt!$D$48:$W$48,$A46))</f>
        <v>1.3</v>
      </c>
      <c r="G46" s="122">
        <f>IF(ISNA(F46),NA(),Assumptions!$B$40)</f>
        <v>1.3</v>
      </c>
      <c r="H46" s="122" cm="1">
        <f t="array" ref="H46">IF(INDEX(Debt!$D$49:$W$49,$A46)=0,NA(),INDEX(Debt!$D$49:$W$49,$A46))</f>
        <v>1.1304347826086956</v>
      </c>
      <c r="I46" s="100">
        <f t="shared" si="1"/>
        <v>4</v>
      </c>
      <c r="J46" s="122" cm="1">
        <f t="array" ref="J46">INDEX(Debt!$D$46:$W$46,$A46)</f>
        <v>26.467281497370969</v>
      </c>
      <c r="K46" s="122" cm="1">
        <f t="array" ref="K46">INDEX(Debt!$D$63:$W$63,$A46)</f>
        <v>1.2491071066250243</v>
      </c>
    </row>
    <row r="47" spans="1:11" outlineLevel="1" x14ac:dyDescent="0.3">
      <c r="A47" s="100">
        <f t="shared" si="2"/>
        <v>5</v>
      </c>
      <c r="B47" s="122" cm="1">
        <f t="array" ref="B47">INDEX(Model!$D$34:$W$34,$A47)</f>
        <v>5.0798441173905902</v>
      </c>
      <c r="C47" s="122" cm="1">
        <f t="array" ref="C47">INDEX(Debt!$D$47:$W$47,$A47)</f>
        <v>4.4937082576916758</v>
      </c>
      <c r="E47" s="100">
        <f t="shared" si="0"/>
        <v>5</v>
      </c>
      <c r="F47" s="122" cm="1">
        <f t="array" ref="F47">IF(INDEX(Debt!$D$48:$W$48,$A47)=0,NA(),INDEX(Debt!$D$48:$W$48,$A47))</f>
        <v>1.3</v>
      </c>
      <c r="G47" s="122">
        <f>IF(ISNA(F47),NA(),Assumptions!$B$40)</f>
        <v>1.3</v>
      </c>
      <c r="H47" s="122" cm="1">
        <f t="array" ref="H47">IF(INDEX(Debt!$D$49:$W$49,$A47)=0,NA(),INDEX(Debt!$D$49:$W$49,$A47))</f>
        <v>1.1304347826086958</v>
      </c>
      <c r="I47" s="100">
        <f t="shared" si="1"/>
        <v>5</v>
      </c>
      <c r="J47" s="122" cm="1">
        <f t="array" ref="J47">INDEX(Debt!$D$46:$W$46,$A47)</f>
        <v>24.090955759468972</v>
      </c>
      <c r="K47" s="122" cm="1">
        <f t="array" ref="K47">INDEX(Debt!$D$63:$W$63,$A47)</f>
        <v>1.202690519191641</v>
      </c>
    </row>
    <row r="48" spans="1:11" outlineLevel="1" x14ac:dyDescent="0.3">
      <c r="A48" s="100">
        <f t="shared" si="2"/>
        <v>6</v>
      </c>
      <c r="B48" s="122" cm="1">
        <f t="array" ref="B48">INDEX(Model!$D$34:$W$34,$A48)</f>
        <v>5.128360368145449</v>
      </c>
      <c r="C48" s="122" cm="1">
        <f t="array" ref="C48">INDEX(Debt!$D$47:$W$47,$A48)</f>
        <v>4.5366264795132825</v>
      </c>
      <c r="E48" s="100">
        <f t="shared" si="0"/>
        <v>6</v>
      </c>
      <c r="F48" s="122" cm="1">
        <f t="array" ref="F48">IF(INDEX(Debt!$D$48:$W$48,$A48)=0,NA(),INDEX(Debt!$D$48:$W$48,$A48))</f>
        <v>1.3</v>
      </c>
      <c r="G48" s="122">
        <f>IF(ISNA(F48),NA(),Assumptions!$B$40)</f>
        <v>1.3</v>
      </c>
      <c r="H48" s="122" cm="1">
        <f t="array" ref="H48">IF(INDEX(Debt!$D$49:$W$49,$A48)=0,NA(),INDEX(Debt!$D$49:$W$49,$A48))</f>
        <v>1.1304347826086956</v>
      </c>
      <c r="I48" s="100">
        <f t="shared" si="1"/>
        <v>6</v>
      </c>
      <c r="J48" s="122" cm="1">
        <f t="array" ref="J48">INDEX(Debt!$D$46:$W$46,$A48)</f>
        <v>21.481605740713206</v>
      </c>
      <c r="K48" s="122" cm="1">
        <f t="array" ref="K48">INDEX(Debt!$D$63:$W$63,$A48)</f>
        <v>1.1511404606340372</v>
      </c>
    </row>
    <row r="49" spans="1:11" outlineLevel="1" x14ac:dyDescent="0.3">
      <c r="A49" s="100">
        <f t="shared" si="2"/>
        <v>7</v>
      </c>
      <c r="B49" s="122" cm="1">
        <f t="array" ref="B49">INDEX(Model!$D$34:$W$34,$A49)</f>
        <v>5.1771789203314498</v>
      </c>
      <c r="C49" s="122" cm="1">
        <f t="array" ref="C49">INDEX(Debt!$D$47:$W$47,$A49)</f>
        <v>4.579812121831667</v>
      </c>
      <c r="E49" s="100">
        <f t="shared" si="0"/>
        <v>7</v>
      </c>
      <c r="F49" s="122" cm="1">
        <f t="array" ref="F49">IF(INDEX(Debt!$D$48:$W$48,$A49)=0,NA(),INDEX(Debt!$D$48:$W$48,$A49))</f>
        <v>1.3</v>
      </c>
      <c r="G49" s="122">
        <f>IF(ISNA(F49),NA(),Assumptions!$B$40)</f>
        <v>1.3</v>
      </c>
      <c r="H49" s="122" cm="1">
        <f t="array" ref="H49">IF(INDEX(Debt!$D$49:$W$49,$A49)=0,NA(),INDEX(Debt!$D$49:$W$49,$A49))</f>
        <v>1.1304347826086958</v>
      </c>
      <c r="I49" s="100">
        <f t="shared" si="1"/>
        <v>7</v>
      </c>
      <c r="J49" s="122" cm="1">
        <f t="array" ref="J49">INDEX(Debt!$D$46:$W$46,$A49)</f>
        <v>18.620322078138596</v>
      </c>
      <c r="K49" s="122" cm="1">
        <f t="array" ref="K49">INDEX(Debt!$D$63:$W$63,$A49)</f>
        <v>1.0940358651735518</v>
      </c>
    </row>
    <row r="50" spans="1:11" outlineLevel="1" x14ac:dyDescent="0.3">
      <c r="A50" s="100">
        <f t="shared" si="2"/>
        <v>8</v>
      </c>
      <c r="B50" s="122" cm="1">
        <f t="array" ref="B50">INDEX(Model!$D$34:$W$34,$A50)</f>
        <v>5.2262915452001542</v>
      </c>
      <c r="C50" s="122" cm="1">
        <f t="array" ref="C50">INDEX(Debt!$D$47:$W$47,$A50)</f>
        <v>4.6232579053693676</v>
      </c>
      <c r="E50" s="100">
        <f t="shared" si="0"/>
        <v>8</v>
      </c>
      <c r="F50" s="122" cm="1">
        <f t="array" ref="F50">IF(INDEX(Debt!$D$48:$W$48,$A50)=0,NA(),INDEX(Debt!$D$48:$W$48,$A50))</f>
        <v>1.3</v>
      </c>
      <c r="G50" s="122">
        <f>IF(ISNA(F50),NA(),Assumptions!$B$40)</f>
        <v>1.3</v>
      </c>
      <c r="H50" s="122" cm="1">
        <f t="array" ref="H50">IF(INDEX(Debt!$D$49:$W$49,$A50)=0,NA(),INDEX(Debt!$D$49:$W$49,$A50))</f>
        <v>1.1304347826086956</v>
      </c>
      <c r="I50" s="100">
        <f t="shared" si="1"/>
        <v>8</v>
      </c>
      <c r="J50" s="122" cm="1">
        <f t="array" ref="J50">INDEX(Debt!$D$46:$W$46,$A50)</f>
        <v>15.486689939020316</v>
      </c>
      <c r="K50" s="122" cm="1">
        <f t="array" ref="K50">INDEX(Debt!$D$63:$W$63,$A50)</f>
        <v>1.0309221533700939</v>
      </c>
    </row>
    <row r="51" spans="1:11" outlineLevel="1" x14ac:dyDescent="0.3">
      <c r="A51" s="100">
        <f t="shared" si="2"/>
        <v>9</v>
      </c>
      <c r="B51" s="122" cm="1">
        <f t="array" ref="B51">INDEX(Model!$D$34:$W$34,$A51)</f>
        <v>5.2756895076738033</v>
      </c>
      <c r="C51" s="122" cm="1">
        <f t="array" ref="C51">INDEX(Debt!$D$47:$W$47,$A51)</f>
        <v>4.6669561029422102</v>
      </c>
      <c r="E51" s="100">
        <f t="shared" si="0"/>
        <v>9</v>
      </c>
      <c r="F51" s="122" cm="1">
        <f t="array" ref="F51">IF(INDEX(Debt!$D$48:$W$48,$A51)=0,NA(),INDEX(Debt!$D$48:$W$48,$A51))</f>
        <v>1.3</v>
      </c>
      <c r="G51" s="122">
        <f>IF(ISNA(F51),NA(),Assumptions!$B$40)</f>
        <v>1.3</v>
      </c>
      <c r="H51" s="122" cm="1">
        <f t="array" ref="H51">IF(INDEX(Debt!$D$49:$W$49,$A51)=0,NA(),INDEX(Debt!$D$49:$W$49,$A51))</f>
        <v>1.1304347826086958</v>
      </c>
      <c r="I51" s="100">
        <f t="shared" si="1"/>
        <v>9</v>
      </c>
      <c r="J51" s="122" cm="1">
        <f t="array" ref="J51">INDEX(Debt!$D$46:$W$46,$A51)</f>
        <v>12.058669031199731</v>
      </c>
      <c r="K51" s="122" cm="1">
        <f t="array" ref="K51">INDEX(Debt!$D$63:$W$63,$A51)</f>
        <v>0.96130856342591842</v>
      </c>
    </row>
    <row r="52" spans="1:11" outlineLevel="1" x14ac:dyDescent="0.3">
      <c r="A52" s="100">
        <f t="shared" si="2"/>
        <v>10</v>
      </c>
      <c r="B52" s="122" cm="1">
        <f t="array" ref="B52">INDEX(Model!$D$34:$W$34,$A52)</f>
        <v>5.3253635472634251</v>
      </c>
      <c r="C52" s="122" cm="1">
        <f t="array" ref="C52">INDEX(Debt!$D$47:$W$47,$A52)</f>
        <v>4.7108985225791837</v>
      </c>
      <c r="E52" s="100">
        <f t="shared" si="0"/>
        <v>10</v>
      </c>
      <c r="F52" s="122" cm="1">
        <f t="array" ref="F52">IF(INDEX(Debt!$D$48:$W$48,$A52)=0,NA(),INDEX(Debt!$D$48:$W$48,$A52))</f>
        <v>1.3</v>
      </c>
      <c r="G52" s="122">
        <f>IF(ISNA(F52),NA(),Assumptions!$B$40)</f>
        <v>1.3</v>
      </c>
      <c r="H52" s="122" cm="1">
        <f t="array" ref="H52">IF(INDEX(Debt!$D$49:$W$49,$A52)=0,NA(),INDEX(Debt!$D$49:$W$49,$A52))</f>
        <v>1.1304347826086956</v>
      </c>
      <c r="I52" s="100">
        <f t="shared" si="1"/>
        <v>10</v>
      </c>
      <c r="J52" s="122" cm="1">
        <f t="array" ref="J52">INDEX(Debt!$D$46:$W$46,$A52)</f>
        <v>8.3124640311165265</v>
      </c>
      <c r="K52" s="122" cm="1">
        <f t="array" ref="K52">INDEX(Debt!$D$63:$W$63,$A52)</f>
        <v>0.88466526947430291</v>
      </c>
    </row>
    <row r="53" spans="1:11" outlineLevel="1" x14ac:dyDescent="0.3">
      <c r="A53" s="100">
        <f t="shared" si="2"/>
        <v>11</v>
      </c>
      <c r="B53" s="122" cm="1">
        <f t="array" ref="B53">INDEX(Model!$D$34:$W$34,$A53)</f>
        <v>5.3753038583561281</v>
      </c>
      <c r="C53" s="122" cm="1">
        <f t="array" ref="C53">INDEX(Debt!$D$47:$W$47,$A53)</f>
        <v>4.7550764900842672</v>
      </c>
      <c r="E53" s="100">
        <f t="shared" si="0"/>
        <v>11</v>
      </c>
      <c r="F53" s="122" cm="1">
        <f t="array" ref="F53">IF(INDEX(Debt!$D$48:$W$48,$A53)=0,NA(),INDEX(Debt!$D$48:$W$48,$A53))</f>
        <v>1.3</v>
      </c>
      <c r="G53" s="122">
        <f>IF(ISNA(F53),NA(),Assumptions!$B$40)</f>
        <v>1.3</v>
      </c>
      <c r="H53" s="122" cm="1">
        <f t="array" ref="H53">IF(INDEX(Debt!$D$49:$W$49,$A53)=0,NA(),INDEX(Debt!$D$49:$W$49,$A53))</f>
        <v>1.1304347826086956</v>
      </c>
      <c r="I53" s="100">
        <f t="shared" si="1"/>
        <v>11</v>
      </c>
      <c r="J53" s="122" cm="1">
        <f t="array" ref="J53">INDEX(Debt!$D$46:$W$46,$A53)</f>
        <v>4.2223846635215816</v>
      </c>
      <c r="K53" s="122" cm="1">
        <f t="array" ref="K53">INDEX(Debt!$D$63:$W$63,$A53)</f>
        <v>0.80042026982804049</v>
      </c>
    </row>
    <row r="54" spans="1:11" outlineLevel="1" x14ac:dyDescent="0.3">
      <c r="A54" s="100">
        <f t="shared" si="2"/>
        <v>12</v>
      </c>
      <c r="B54" s="122" cm="1">
        <f t="array" ref="B54">INDEX(Model!$D$34:$W$34,$A54)</f>
        <v>5.4255000698517328</v>
      </c>
      <c r="C54" s="122" cm="1">
        <f t="array" ref="C54">INDEX(Debt!$D$47:$W$47,$A54)</f>
        <v>4.5601754366033083</v>
      </c>
      <c r="E54" s="100">
        <f t="shared" si="0"/>
        <v>12</v>
      </c>
      <c r="F54" s="122" cm="1">
        <f t="array" ref="F54">IF(INDEX(Debt!$D$48:$W$48,$A54)=0,NA(),INDEX(Debt!$D$48:$W$48,$A54))</f>
        <v>1.3</v>
      </c>
      <c r="G54" s="122">
        <f>IF(ISNA(F54),NA(),Assumptions!$B$40)</f>
        <v>1.3</v>
      </c>
      <c r="H54" s="122" cm="1">
        <f t="array" ref="H54">IF(INDEX(Debt!$D$49:$W$49,$A54)=0,NA(),INDEX(Debt!$D$49:$W$49,$A54))</f>
        <v>1.1897568734533095</v>
      </c>
      <c r="I54" s="100">
        <f t="shared" si="1"/>
        <v>12</v>
      </c>
      <c r="J54" s="122" cm="1">
        <f t="array" ref="J54">INDEX(Debt!$D$46:$W$46,$A54)</f>
        <v>0</v>
      </c>
      <c r="K54" s="122" cm="1">
        <f t="array" ref="K54">INDEX(Debt!$D$63:$W$63,$A54)</f>
        <v>3.0533926612697626</v>
      </c>
    </row>
    <row r="55" spans="1:11" outlineLevel="1" x14ac:dyDescent="0.3">
      <c r="A55" s="100">
        <f t="shared" si="2"/>
        <v>13</v>
      </c>
      <c r="B55" s="122" cm="1">
        <f t="array" ref="B55">INDEX(Model!$D$34:$W$34,$A55)</f>
        <v>5.4759412241283805</v>
      </c>
      <c r="C55" s="122" cm="1">
        <f t="array" ref="C55">INDEX(Debt!$D$47:$W$47,$A55)</f>
        <v>0</v>
      </c>
      <c r="E55" s="100">
        <f t="shared" si="0"/>
        <v>13</v>
      </c>
      <c r="F55" s="122" t="e" cm="1">
        <f t="array" ref="F55">IF(INDEX(Debt!$D$48:$W$48,$A55)=0,NA(),INDEX(Debt!$D$48:$W$48,$A55))</f>
        <v>#N/A</v>
      </c>
      <c r="G55" s="122" t="e">
        <f>IF(ISNA(F55),NA(),Assumptions!$B$40)</f>
        <v>#N/A</v>
      </c>
      <c r="H55" s="122" t="e" cm="1">
        <f t="array" ref="H55">IF(INDEX(Debt!$D$49:$W$49,$A55)=0,NA(),INDEX(Debt!$D$49:$W$49,$A55))</f>
        <v>#N/A</v>
      </c>
      <c r="I55" s="100">
        <f t="shared" si="1"/>
        <v>13</v>
      </c>
      <c r="J55" s="122" cm="1">
        <f t="array" ref="J55">INDEX(Debt!$D$46:$W$46,$A55)</f>
        <v>0</v>
      </c>
      <c r="K55" s="122" cm="1">
        <f t="array" ref="K55">INDEX(Debt!$D$63:$W$63,$A55)</f>
        <v>5.4759412241283805</v>
      </c>
    </row>
    <row r="56" spans="1:11" outlineLevel="1" x14ac:dyDescent="0.3">
      <c r="A56" s="100">
        <f t="shared" si="2"/>
        <v>14</v>
      </c>
      <c r="B56" s="122" cm="1">
        <f t="array" ref="B56">INDEX(Model!$D$34:$W$34,$A56)</f>
        <v>5.526615755316044</v>
      </c>
      <c r="C56" s="122" cm="1">
        <f t="array" ref="C56">INDEX(Debt!$D$47:$W$47,$A56)</f>
        <v>0</v>
      </c>
      <c r="E56" s="100">
        <f t="shared" si="0"/>
        <v>14</v>
      </c>
      <c r="F56" s="122" t="e" cm="1">
        <f t="array" ref="F56">IF(INDEX(Debt!$D$48:$W$48,$A56)=0,NA(),INDEX(Debt!$D$48:$W$48,$A56))</f>
        <v>#N/A</v>
      </c>
      <c r="G56" s="122" t="e">
        <f>IF(ISNA(F56),NA(),Assumptions!$B$40)</f>
        <v>#N/A</v>
      </c>
      <c r="H56" s="122" t="e" cm="1">
        <f t="array" ref="H56">IF(INDEX(Debt!$D$49:$W$49,$A56)=0,NA(),INDEX(Debt!$D$49:$W$49,$A56))</f>
        <v>#N/A</v>
      </c>
      <c r="I56" s="100">
        <f t="shared" si="1"/>
        <v>14</v>
      </c>
      <c r="J56" s="122" cm="1">
        <f t="array" ref="J56">INDEX(Debt!$D$46:$W$46,$A56)</f>
        <v>0</v>
      </c>
      <c r="K56" s="122" cm="1">
        <f t="array" ref="K56">INDEX(Debt!$D$63:$W$63,$A56)</f>
        <v>5.526615755316044</v>
      </c>
    </row>
    <row r="57" spans="1:11" outlineLevel="1" x14ac:dyDescent="0.3">
      <c r="A57" s="100">
        <f t="shared" si="2"/>
        <v>15</v>
      </c>
      <c r="B57" s="122" cm="1">
        <f t="array" ref="B57">INDEX(Model!$D$34:$W$34,$A57)</f>
        <v>5.5775114668562926</v>
      </c>
      <c r="C57" s="122" cm="1">
        <f t="array" ref="C57">INDEX(Debt!$D$47:$W$47,$A57)</f>
        <v>0</v>
      </c>
      <c r="E57" s="100">
        <f t="shared" si="0"/>
        <v>15</v>
      </c>
      <c r="F57" s="122" t="e" cm="1">
        <f t="array" ref="F57">IF(INDEX(Debt!$D$48:$W$48,$A57)=0,NA(),INDEX(Debt!$D$48:$W$48,$A57))</f>
        <v>#N/A</v>
      </c>
      <c r="G57" s="122" t="e">
        <f>IF(ISNA(F57),NA(),Assumptions!$B$40)</f>
        <v>#N/A</v>
      </c>
      <c r="H57" s="122" t="e" cm="1">
        <f t="array" ref="H57">IF(INDEX(Debt!$D$49:$W$49,$A57)=0,NA(),INDEX(Debt!$D$49:$W$49,$A57))</f>
        <v>#N/A</v>
      </c>
      <c r="I57" s="100">
        <f t="shared" si="1"/>
        <v>15</v>
      </c>
      <c r="J57" s="122" cm="1">
        <f t="array" ref="J57">INDEX(Debt!$D$46:$W$46,$A57)</f>
        <v>0</v>
      </c>
      <c r="K57" s="122" cm="1">
        <f t="array" ref="K57">INDEX(Debt!$D$63:$W$63,$A57)</f>
        <v>5.5775114668562926</v>
      </c>
    </row>
    <row r="58" spans="1:11" outlineLevel="1" x14ac:dyDescent="0.3">
      <c r="A58" s="100">
        <f t="shared" si="2"/>
        <v>16</v>
      </c>
      <c r="B58" s="122" cm="1">
        <f t="array" ref="B58">INDEX(Model!$D$34:$W$34,$A58)</f>
        <v>5.6286155083259626</v>
      </c>
      <c r="C58" s="122" cm="1">
        <f t="array" ref="C58">INDEX(Debt!$D$47:$W$47,$A58)</f>
        <v>0</v>
      </c>
      <c r="E58" s="100">
        <f t="shared" si="0"/>
        <v>16</v>
      </c>
      <c r="F58" s="122" t="e" cm="1">
        <f t="array" ref="F58">IF(INDEX(Debt!$D$48:$W$48,$A58)=0,NA(),INDEX(Debt!$D$48:$W$48,$A58))</f>
        <v>#N/A</v>
      </c>
      <c r="G58" s="122" t="e">
        <f>IF(ISNA(F58),NA(),Assumptions!$B$40)</f>
        <v>#N/A</v>
      </c>
      <c r="H58" s="122" t="e" cm="1">
        <f t="array" ref="H58">IF(INDEX(Debt!$D$49:$W$49,$A58)=0,NA(),INDEX(Debt!$D$49:$W$49,$A58))</f>
        <v>#N/A</v>
      </c>
      <c r="I58" s="100">
        <f t="shared" si="1"/>
        <v>16</v>
      </c>
      <c r="J58" s="122" cm="1">
        <f t="array" ref="J58">INDEX(Debt!$D$46:$W$46,$A58)</f>
        <v>0</v>
      </c>
      <c r="K58" s="122" cm="1">
        <f t="array" ref="K58">INDEX(Debt!$D$63:$W$63,$A58)</f>
        <v>5.6286155083259626</v>
      </c>
    </row>
    <row r="59" spans="1:11" outlineLevel="1" x14ac:dyDescent="0.3">
      <c r="A59" s="100">
        <f t="shared" si="2"/>
        <v>17</v>
      </c>
      <c r="B59" s="122" cm="1">
        <f t="array" ref="B59">INDEX(Model!$D$34:$W$34,$A59)</f>
        <v>5.6799143515016812</v>
      </c>
      <c r="C59" s="122" cm="1">
        <f t="array" ref="C59">INDEX(Debt!$D$47:$W$47,$A59)</f>
        <v>0</v>
      </c>
      <c r="E59" s="100">
        <f t="shared" si="0"/>
        <v>17</v>
      </c>
      <c r="F59" s="122" t="e" cm="1">
        <f t="array" ref="F59">IF(INDEX(Debt!$D$48:$W$48,$A59)=0,NA(),INDEX(Debt!$D$48:$W$48,$A59))</f>
        <v>#N/A</v>
      </c>
      <c r="G59" s="122" t="e">
        <f>IF(ISNA(F59),NA(),Assumptions!$B$40)</f>
        <v>#N/A</v>
      </c>
      <c r="H59" s="122" t="e" cm="1">
        <f t="array" ref="H59">IF(INDEX(Debt!$D$49:$W$49,$A59)=0,NA(),INDEX(Debt!$D$49:$W$49,$A59))</f>
        <v>#N/A</v>
      </c>
      <c r="I59" s="100">
        <f t="shared" si="1"/>
        <v>17</v>
      </c>
      <c r="J59" s="122" cm="1">
        <f t="array" ref="J59">INDEX(Debt!$D$46:$W$46,$A59)</f>
        <v>0</v>
      </c>
      <c r="K59" s="122" cm="1">
        <f t="array" ref="K59">INDEX(Debt!$D$63:$W$63,$A59)</f>
        <v>5.6799143515016812</v>
      </c>
    </row>
    <row r="60" spans="1:11" outlineLevel="1" x14ac:dyDescent="0.3">
      <c r="A60" s="100">
        <f t="shared" si="2"/>
        <v>18</v>
      </c>
      <c r="B60" s="122" cm="1">
        <f t="array" ref="B60">INDEX(Model!$D$34:$W$34,$A60)</f>
        <v>5.7313937656415614</v>
      </c>
      <c r="C60" s="122" cm="1">
        <f t="array" ref="C60">INDEX(Debt!$D$47:$W$47,$A60)</f>
        <v>0</v>
      </c>
      <c r="E60" s="100">
        <f t="shared" si="0"/>
        <v>18</v>
      </c>
      <c r="F60" s="122" t="e" cm="1">
        <f t="array" ref="F60">IF(INDEX(Debt!$D$48:$W$48,$A60)=0,NA(),INDEX(Debt!$D$48:$W$48,$A60))</f>
        <v>#N/A</v>
      </c>
      <c r="G60" s="122" t="e">
        <f>IF(ISNA(F60),NA(),Assumptions!$B$40)</f>
        <v>#N/A</v>
      </c>
      <c r="H60" s="122" t="e" cm="1">
        <f t="array" ref="H60">IF(INDEX(Debt!$D$49:$W$49,$A60)=0,NA(),INDEX(Debt!$D$49:$W$49,$A60))</f>
        <v>#N/A</v>
      </c>
      <c r="I60" s="100">
        <f t="shared" si="1"/>
        <v>18</v>
      </c>
      <c r="J60" s="122" cm="1">
        <f t="array" ref="J60">INDEX(Debt!$D$46:$W$46,$A60)</f>
        <v>0</v>
      </c>
      <c r="K60" s="122" cm="1">
        <f t="array" ref="K60">INDEX(Debt!$D$63:$W$63,$A60)</f>
        <v>5.7313937656415614</v>
      </c>
    </row>
    <row r="61" spans="1:11" outlineLevel="1" x14ac:dyDescent="0.3">
      <c r="A61" s="100">
        <f t="shared" si="2"/>
        <v>19</v>
      </c>
      <c r="B61" s="122" cm="1">
        <f t="array" ref="B61">INDEX(Model!$D$34:$W$34,$A61)</f>
        <v>5.7830387919595605</v>
      </c>
      <c r="C61" s="122" cm="1">
        <f t="array" ref="C61">INDEX(Debt!$D$47:$W$47,$A61)</f>
        <v>0</v>
      </c>
      <c r="E61" s="100">
        <f t="shared" si="0"/>
        <v>19</v>
      </c>
      <c r="F61" s="122" t="e" cm="1">
        <f t="array" ref="F61">IF(INDEX(Debt!$D$48:$W$48,$A61)=0,NA(),INDEX(Debt!$D$48:$W$48,$A61))</f>
        <v>#N/A</v>
      </c>
      <c r="G61" s="122" t="e">
        <f>IF(ISNA(F61),NA(),Assumptions!$B$40)</f>
        <v>#N/A</v>
      </c>
      <c r="H61" s="122" t="e" cm="1">
        <f t="array" ref="H61">IF(INDEX(Debt!$D$49:$W$49,$A61)=0,NA(),INDEX(Debt!$D$49:$W$49,$A61))</f>
        <v>#N/A</v>
      </c>
      <c r="I61" s="100">
        <f t="shared" si="1"/>
        <v>19</v>
      </c>
      <c r="J61" s="122" cm="1">
        <f t="array" ref="J61">INDEX(Debt!$D$46:$W$46,$A61)</f>
        <v>0</v>
      </c>
      <c r="K61" s="122" cm="1">
        <f t="array" ref="K61">INDEX(Debt!$D$63:$W$63,$A61)</f>
        <v>5.7830387919595605</v>
      </c>
    </row>
    <row r="62" spans="1:11" outlineLevel="1" x14ac:dyDescent="0.3">
      <c r="A62" s="100">
        <f t="shared" si="2"/>
        <v>20</v>
      </c>
      <c r="B62" s="122" cm="1">
        <f t="array" ref="B62">INDEX(Model!$D$34:$W$34,$A62)</f>
        <v>5.8348337172673297</v>
      </c>
      <c r="C62" s="122" cm="1">
        <f t="array" ref="C62">INDEX(Debt!$D$47:$W$47,$A62)</f>
        <v>0</v>
      </c>
      <c r="E62" s="100">
        <f t="shared" si="0"/>
        <v>20</v>
      </c>
      <c r="F62" s="122" t="e" cm="1">
        <f t="array" ref="F62">IF(INDEX(Debt!$D$48:$W$48,$A62)=0,NA(),INDEX(Debt!$D$48:$W$48,$A62))</f>
        <v>#N/A</v>
      </c>
      <c r="G62" s="122" t="e">
        <f>IF(ISNA(F62),NA(),Assumptions!$B$40)</f>
        <v>#N/A</v>
      </c>
      <c r="H62" s="122" t="e" cm="1">
        <f t="array" ref="H62">IF(INDEX(Debt!$D$49:$W$49,$A62)=0,NA(),INDEX(Debt!$D$49:$W$49,$A62))</f>
        <v>#N/A</v>
      </c>
      <c r="I62" s="100">
        <f t="shared" si="1"/>
        <v>20</v>
      </c>
      <c r="J62" s="122" cm="1">
        <f t="array" ref="J62">INDEX(Debt!$D$46:$W$46,$A62)</f>
        <v>0</v>
      </c>
      <c r="K62" s="122" cm="1">
        <f t="array" ref="K62">INDEX(Debt!$D$63:$W$63,$A62)</f>
        <v>5.8348337172673297</v>
      </c>
    </row>
    <row r="64" spans="1:11" x14ac:dyDescent="0.3">
      <c r="A64" s="123" t="s">
        <v>294</v>
      </c>
      <c r="B64" s="125" t="s">
        <v>5</v>
      </c>
      <c r="C64" s="125" t="s">
        <v>295</v>
      </c>
    </row>
    <row r="65" spans="1:3" x14ac:dyDescent="0.3">
      <c r="A65" t="s">
        <v>296</v>
      </c>
      <c r="B65" s="37" t="s">
        <v>100</v>
      </c>
      <c r="C65" s="129">
        <f>Model!$C$56</f>
        <v>0.10087954572005146</v>
      </c>
    </row>
    <row r="66" spans="1:3" x14ac:dyDescent="0.3">
      <c r="A66" t="s">
        <v>297</v>
      </c>
      <c r="B66" s="37" t="s">
        <v>14</v>
      </c>
      <c r="C66" s="135">
        <f>Model!$C$55-1</f>
        <v>0.3450606096006863</v>
      </c>
    </row>
    <row r="67" spans="1:3" x14ac:dyDescent="0.3">
      <c r="A67" t="s">
        <v>298</v>
      </c>
      <c r="B67" s="37" t="s">
        <v>14</v>
      </c>
      <c r="C67" s="130">
        <f>Model!$C$57</f>
        <v>0.28246272801614414</v>
      </c>
    </row>
    <row r="68" spans="1:3" x14ac:dyDescent="0.3">
      <c r="A68" t="s">
        <v>299</v>
      </c>
      <c r="B68" s="37" t="s">
        <v>25</v>
      </c>
      <c r="C68" s="116">
        <f>Model!$C$58</f>
        <v>42.025962315618763</v>
      </c>
    </row>
    <row r="69" spans="1:3" x14ac:dyDescent="0.3">
      <c r="A69" t="s">
        <v>300</v>
      </c>
      <c r="B69" s="37" t="s">
        <v>14</v>
      </c>
      <c r="C69" s="135">
        <f>C68/Assumptions!$B$15-1</f>
        <v>-0.29956729473968724</v>
      </c>
    </row>
    <row r="71" spans="1:3" x14ac:dyDescent="0.3">
      <c r="A71" s="4" t="s">
        <v>319</v>
      </c>
    </row>
    <row r="72" spans="1:3" x14ac:dyDescent="0.3">
      <c r="A72" s="28" t="s">
        <v>301</v>
      </c>
    </row>
    <row r="73" spans="1:3" x14ac:dyDescent="0.3">
      <c r="A73" s="28" t="s">
        <v>320</v>
      </c>
    </row>
    <row r="74" spans="1:3" x14ac:dyDescent="0.3">
      <c r="A74" s="131" t="s">
        <v>321</v>
      </c>
    </row>
    <row r="76" spans="1:3" x14ac:dyDescent="0.3">
      <c r="A76" s="132" t="s">
        <v>302</v>
      </c>
    </row>
    <row r="77" spans="1:3" x14ac:dyDescent="0.3">
      <c r="A77" s="28" t="s">
        <v>303</v>
      </c>
    </row>
    <row r="78" spans="1:3" x14ac:dyDescent="0.3">
      <c r="A78" s="28" t="s">
        <v>304</v>
      </c>
    </row>
    <row r="80" spans="1:3" x14ac:dyDescent="0.3">
      <c r="A80" s="3" t="s">
        <v>305</v>
      </c>
    </row>
  </sheetData>
  <pageMargins left="0.7" right="0.7" top="0.75" bottom="0.75" header="0.3" footer="0.3"/>
  <pageSetup paperSize="0" firstPageNumber="0" fitToHeight="0" orientation="landscape"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Assumptions</vt:lpstr>
      <vt:lpstr>Model</vt:lpstr>
      <vt:lpstr>Debt</vt:lpstr>
      <vt:lpstr>Sensitivities</vt:lpstr>
      <vt:lpstr>Outputs</vt:lpstr>
      <vt:lpstr>Assumptions!Print_Area</vt:lpstr>
      <vt:lpstr>Debt!Print_Area</vt:lpstr>
      <vt:lpstr>Model!Print_Area</vt:lpstr>
      <vt:lpstr>Outputs!Print_Area</vt:lpstr>
      <vt:lpstr>Sensitivities!Print_Area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Rosemary Waweru</cp:lastModifiedBy>
  <cp:revision/>
  <dcterms:created xsi:type="dcterms:W3CDTF">2026-08-05T11:40:13Z</dcterms:created>
  <dcterms:modified xsi:type="dcterms:W3CDTF">2026-08-28T22:47:24Z</dcterms:modified>
  <cp:category/>
  <cp:contentStatus/>
</cp:coreProperties>
</file>